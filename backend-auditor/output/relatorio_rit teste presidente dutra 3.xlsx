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8D448027-B5D9-4EA0-AD86-2478DCDB21BB}" xr6:coauthVersionLast="47" xr6:coauthVersionMax="47" xr10:uidLastSave="{00000000-0000-0000-0000-000000000000}"/>
  <bookViews>
    <workbookView xWindow="-108" yWindow="-108" windowWidth="23256" windowHeight="12456" firstSheet="10" activeTab="10" xr2:uid="{00000000-000D-0000-FFFF-FFFF00000000}"/>
  </bookViews>
  <sheets>
    <sheet name="Status" sheetId="1" r:id="rId1"/>
    <sheet name="Base de Cálculo para Repasse" sheetId="2" r:id="rId2"/>
    <sheet name="Resultado Orçamentário" sheetId="3" r:id="rId3"/>
    <sheet name="Receita Corrente Líquida" sheetId="4" r:id="rId4"/>
    <sheet name="Despesa com Pessoal" sheetId="5" r:id="rId5"/>
    <sheet name="Comportamento da Despesa com" sheetId="6" r:id="rId6"/>
    <sheet name="Dívida Consolidada e Mobiliá" sheetId="7" r:id="rId7"/>
    <sheet name="Balanço Orçamentário - Recei" sheetId="8" r:id="rId8"/>
    <sheet name="Balanço Orçamentário - Despe" sheetId="9" r:id="rId9"/>
    <sheet name="Efetividade na Arrecadação d" sheetId="10" r:id="rId10"/>
    <sheet name="Comparativo LOA x Balanço Or" sheetId="11" r:id="rId11"/>
    <sheet name="Apuração do Resultado Financ" sheetId="12" r:id="rId12"/>
    <sheet name="Evolução do Patrimônio Líqui" sheetId="13" r:id="rId13"/>
    <sheet name="Apuração do Fluxo de Caixa d" sheetId="14" r:id="rId14"/>
    <sheet name="Suficiência de Caixa" sheetId="15" r:id="rId15"/>
    <sheet name="Análise de Depósitos Restitu" sheetId="16" r:id="rId16"/>
    <sheet name="Base de Cálculo do Índice de" sheetId="17" r:id="rId17"/>
    <sheet name="Despesas com Ações e Serviço" sheetId="18" r:id="rId18"/>
    <sheet name="Base de Cálculo do Índice de1" sheetId="19" r:id="rId19"/>
    <sheet name="Despesas com Manutenção e De" sheetId="20" r:id="rId20"/>
    <sheet name="Recursos Destinados à Formaç" sheetId="21" r:id="rId21"/>
    <sheet name="Transferências de Recursos a" sheetId="22" r:id="rId22"/>
    <sheet name="Despesas por Subfunção — Edu" sheetId="23" r:id="rId23"/>
    <sheet name="Balanço Geral FUNDEB 70% — R" sheetId="24" r:id="rId24"/>
    <sheet name="Balanço Geral FUNDEB 70% — D" sheetId="25" r:id="rId25"/>
    <sheet name="FUNDEB 30% — Outras Despesas" sheetId="26" r:id="rId26"/>
    <sheet name="VAAT — Educação Infantil (50" sheetId="27" r:id="rId27"/>
    <sheet name="_dados_" sheetId="28" state="hidden" r:id="rId28"/>
    <sheet name="Dados Manuais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</calcChain>
</file>

<file path=xl/sharedStrings.xml><?xml version="1.0" encoding="utf-8"?>
<sst xmlns="http://schemas.openxmlformats.org/spreadsheetml/2006/main" count="707" uniqueCount="586">
  <si>
    <t>KORA  —  Status da Geração de Tabelas</t>
  </si>
  <si>
    <t>Presidente Dutra  ·  Exercício 2024  ·  Gerados: 26/27  ·  ✗ Irregulares: 1</t>
  </si>
  <si>
    <t>Nº</t>
  </si>
  <si>
    <t>Quadro</t>
  </si>
  <si>
    <t>Descrição</t>
  </si>
  <si>
    <t>Docs Necessários</t>
  </si>
  <si>
    <t>Status</t>
  </si>
  <si>
    <t>Resultado / Alerta</t>
  </si>
  <si>
    <t>01</t>
  </si>
  <si>
    <t>quadro_01</t>
  </si>
  <si>
    <t>Base de Cálculo para Repasse à Câmara Municipal</t>
  </si>
  <si>
    <t>ANX_10_ANTERIOR</t>
  </si>
  <si>
    <t>✓ Gerado</t>
  </si>
  <si>
    <t>02</t>
  </si>
  <si>
    <t>quadro_02</t>
  </si>
  <si>
    <t>Repasses Financeiros à Câmara Municipal (Duodécimo)</t>
  </si>
  <si>
    <t>ANX_10_ATUAL</t>
  </si>
  <si>
    <t>— Não implementado</t>
  </si>
  <si>
    <t>Extrator ainda não desenvolvido</t>
  </si>
  <si>
    <t>03</t>
  </si>
  <si>
    <t>quadro_03</t>
  </si>
  <si>
    <t>Resultado Orçamentário</t>
  </si>
  <si>
    <t>ANX_12</t>
  </si>
  <si>
    <t>04</t>
  </si>
  <si>
    <t>quadro_04</t>
  </si>
  <si>
    <t>Receita Corrente Líquida</t>
  </si>
  <si>
    <t>05</t>
  </si>
  <si>
    <t>quadro_05</t>
  </si>
  <si>
    <t>Despesa com Pessoal</t>
  </si>
  <si>
    <t>ANX_02, ANX_10_ATUAL</t>
  </si>
  <si>
    <t>Despesa c/ Pessoal: 52.75%  ✓</t>
  </si>
  <si>
    <t>06</t>
  </si>
  <si>
    <t>quadro_06</t>
  </si>
  <si>
    <t>Comportamento da Despesa com Pessoal no Exercício</t>
  </si>
  <si>
    <t>RGF_2SEM</t>
  </si>
  <si>
    <t>07</t>
  </si>
  <si>
    <t>quadro_07</t>
  </si>
  <si>
    <t>Dívida Consolidada e Mobiliária</t>
  </si>
  <si>
    <t>08</t>
  </si>
  <si>
    <t>quadro_08</t>
  </si>
  <si>
    <t>Balanço Orçamentário - Receitas</t>
  </si>
  <si>
    <t>09</t>
  </si>
  <si>
    <t>quadro_09</t>
  </si>
  <si>
    <t>Balanço Orçamentário - Despesas</t>
  </si>
  <si>
    <t>10</t>
  </si>
  <si>
    <t>quadro_10</t>
  </si>
  <si>
    <t>Efetividade na Arrecadação de Receitas</t>
  </si>
  <si>
    <t>11</t>
  </si>
  <si>
    <t>quadro_11</t>
  </si>
  <si>
    <t>Comparativo LOA x Balanço Orçamentário</t>
  </si>
  <si>
    <t>LOA, ANX_12</t>
  </si>
  <si>
    <t>12</t>
  </si>
  <si>
    <t>quadro_12</t>
  </si>
  <si>
    <t>Apuração do Resultado Financeiro</t>
  </si>
  <si>
    <t>ANX_14</t>
  </si>
  <si>
    <t>13</t>
  </si>
  <si>
    <t>quadro_13</t>
  </si>
  <si>
    <t>Evolução do Patrimônio Líquido</t>
  </si>
  <si>
    <t>14</t>
  </si>
  <si>
    <t>quadro_14</t>
  </si>
  <si>
    <t>Apuração do Fluxo de Caixa do Período</t>
  </si>
  <si>
    <t>DFC</t>
  </si>
  <si>
    <t>15</t>
  </si>
  <si>
    <t>quadro_15</t>
  </si>
  <si>
    <t>Suficiência de Caixa</t>
  </si>
  <si>
    <t>ANX_12, ANX_14</t>
  </si>
  <si>
    <t>16</t>
  </si>
  <si>
    <t>quadro_16</t>
  </si>
  <si>
    <t>Análise de Depósitos Restituíveis e Valores Vinculados</t>
  </si>
  <si>
    <t>ANX_13, ANX_14</t>
  </si>
  <si>
    <t>17</t>
  </si>
  <si>
    <t>quadro_17</t>
  </si>
  <si>
    <t>Base de Cálculo do Índice de Saúde</t>
  </si>
  <si>
    <t>18</t>
  </si>
  <si>
    <t>quadro_18</t>
  </si>
  <si>
    <t>Despesas com Ações e Serviços de Saúde</t>
  </si>
  <si>
    <t>ANX_06, ANX_10_ATUAL</t>
  </si>
  <si>
    <t>Aplicação Saúde: 20.41%  ✓</t>
  </si>
  <si>
    <t>19</t>
  </si>
  <si>
    <t>quadro_19</t>
  </si>
  <si>
    <t>Base de Cálculo do Índice de MDE</t>
  </si>
  <si>
    <t>20</t>
  </si>
  <si>
    <t>quadro_20</t>
  </si>
  <si>
    <t>Despesas com Manutenção e Desenvolvimento do Ensino (MDE)</t>
  </si>
  <si>
    <t>Aplicação MDE: 26.88%  ✓</t>
  </si>
  <si>
    <t>21</t>
  </si>
  <si>
    <t>quadro_21</t>
  </si>
  <si>
    <t>Recursos Destinados à Formação do FUNDEB</t>
  </si>
  <si>
    <t>22</t>
  </si>
  <si>
    <t>quadro_22</t>
  </si>
  <si>
    <t>Transferências de Recursos ao FUNDEB</t>
  </si>
  <si>
    <t>23</t>
  </si>
  <si>
    <t>quadro_23</t>
  </si>
  <si>
    <t>Despesas por Subfunção — Educação Função 12</t>
  </si>
  <si>
    <t>ANX_06</t>
  </si>
  <si>
    <t>24</t>
  </si>
  <si>
    <t>quadro_24</t>
  </si>
  <si>
    <t>Balanço Geral FUNDEB 70% — Remuneração</t>
  </si>
  <si>
    <t>FUNDEB 70% Remun.: 71.47%  ✓</t>
  </si>
  <si>
    <t>25</t>
  </si>
  <si>
    <t>quadro_25</t>
  </si>
  <si>
    <t>Balanço Geral FUNDEB 70% — Detalhamento por Ação</t>
  </si>
  <si>
    <t>26</t>
  </si>
  <si>
    <t>quadro_26</t>
  </si>
  <si>
    <t>FUNDEB 30% — Outras Despesas</t>
  </si>
  <si>
    <t>FUNDEB 30% Outras: 5.29%  ✓</t>
  </si>
  <si>
    <t>27</t>
  </si>
  <si>
    <t>quadro_27</t>
  </si>
  <si>
    <t>VAAT — Educação Infantil (50%) e Despesas de Capital (15%)</t>
  </si>
  <si>
    <t>✗ Irregular</t>
  </si>
  <si>
    <t>VAAT Infantil: 19.26% — ABAIXO do mínimo de 50%  |  VAAT Capital: 43.28%  ✓</t>
  </si>
  <si>
    <t>Quadro 1 – Base de Cálculo para Repasse à Câmara Municipal</t>
  </si>
  <si>
    <t>Este quadro detalha a base de cálculo para o limite de repasse financeiro ao Poder Legislativo Municipal, considerando a receita tributária e transferências.</t>
  </si>
  <si>
    <t>DESCRIÇÃO</t>
  </si>
  <si>
    <t>VALOR ARRECADADO (R$)</t>
  </si>
  <si>
    <t>1 - RECEITA TRIBUTÁRIA</t>
  </si>
  <si>
    <t>IPTU</t>
  </si>
  <si>
    <t>ISS</t>
  </si>
  <si>
    <t>ITBI</t>
  </si>
  <si>
    <t>IRRF</t>
  </si>
  <si>
    <t>TAXAS</t>
  </si>
  <si>
    <t>CONTRIBUIÇÕES DE MELHORIAS</t>
  </si>
  <si>
    <t>RECEITA DA DIVIDA ATIVA</t>
  </si>
  <si>
    <t>MULTAS JUROS SOBRE TRIBUTOS</t>
  </si>
  <si>
    <t>CONTRIBUIÇÃO ILUMINAÇÃO PÚBLICA</t>
  </si>
  <si>
    <t>2 - TRANSFERIDOS PELO ESTADO</t>
  </si>
  <si>
    <t>Cota-Parte IPVA</t>
  </si>
  <si>
    <t>Cota-Parte ICMS</t>
  </si>
  <si>
    <t>ICMS DESONERAÇÃO</t>
  </si>
  <si>
    <t>3 - TRANSFERIDOS PELA UNIÃO</t>
  </si>
  <si>
    <t>CIDE</t>
  </si>
  <si>
    <t>Cota-Parte ITR</t>
  </si>
  <si>
    <t>Cota-Parte FPM</t>
  </si>
  <si>
    <t>Cota-Parte IPI</t>
  </si>
  <si>
    <t>4 - TOTAL CONTRIBUIÇÃO DO MUN.P/ FORMAÇÃO DO FUNDEB</t>
  </si>
  <si>
    <t>Contribuição do Mun.p/ Formação do FUNDEB</t>
  </si>
  <si>
    <t>Total (Base Cálculo Repasse)</t>
  </si>
  <si>
    <t>Quadro 3 – Resultado Orçamentário</t>
  </si>
  <si>
    <t>Este quadro avalia a relação entre receitas e despesas orçamentárias para determinar se há superávit ou déficit fiscal.</t>
  </si>
  <si>
    <t>RECEITA REALIZADA</t>
  </si>
  <si>
    <t>DESPESA EMPENHADA</t>
  </si>
  <si>
    <t>SITUAÇÃO</t>
  </si>
  <si>
    <t>superavitário</t>
  </si>
  <si>
    <t>Quadro 4 – Receita Corrente Líquida</t>
  </si>
  <si>
    <t>Este quadro demonstra a receita corrente líquida do Município.</t>
  </si>
  <si>
    <t>TCE/MA</t>
  </si>
  <si>
    <t>Receita Tributária</t>
  </si>
  <si>
    <t>Receita de Contribuições</t>
  </si>
  <si>
    <t>Receita Patrimonial</t>
  </si>
  <si>
    <t>Receita Agropecuária</t>
  </si>
  <si>
    <t>Receita Industrial</t>
  </si>
  <si>
    <t>Receita de Serviços</t>
  </si>
  <si>
    <t>Transferências Correntes</t>
  </si>
  <si>
    <t>Outras Receitas Correntes</t>
  </si>
  <si>
    <t>RECEITA CORRENTE</t>
  </si>
  <si>
    <t>(-) Contrib. do Servidor para o Plano de Previdência</t>
  </si>
  <si>
    <t>(-) Compensação Financ. entre Regimes Previdenciária</t>
  </si>
  <si>
    <t>(-) Dedução de Receita para Formação do FUNDEB</t>
  </si>
  <si>
    <t>(-) Transferências Obrigatórias da União relativas às Emendas Individuais (art. 166-A, §1°, da CF) (V)</t>
  </si>
  <si>
    <t>(-) Transferências Obrigatórias da União relativas às Emendas de Bancada (art. 166, § 16, da CF) (VI)</t>
  </si>
  <si>
    <t>(-) Rendimentos de Aplicações de Recursos Previdenciários</t>
  </si>
  <si>
    <t>(-) Transferências da União relativas à remuneração dos agentes comunitários de saúde e de combate às endemias (CF, art. 198, §11) (7)</t>
  </si>
  <si>
    <t>RECEITA CORRENTE LÍQUIDA DECLARADA</t>
  </si>
  <si>
    <t>Quadro 5 – Despesa com Pessoal</t>
  </si>
  <si>
    <t>Este quadro detalha a despesa com pessoal do Município.</t>
  </si>
  <si>
    <t>Pessoal ativo</t>
  </si>
  <si>
    <t>Pessoal inativo e pensionistas</t>
  </si>
  <si>
    <t>Outras despesas de pessoal decorrentes de contratos de terceirização (§ 1º do art. 18 da LRF)</t>
  </si>
  <si>
    <t>DESPESA COM PESSOAL</t>
  </si>
  <si>
    <t>(-) Indenizações por demissão e incentivos à demissão voluntária</t>
  </si>
  <si>
    <t>(-) Decorrentes de decisão judicial de período anterior ao da apuração</t>
  </si>
  <si>
    <t>(-) Despesas de exercícios anteriores de período anterior ao da apuração</t>
  </si>
  <si>
    <t>(-) Inativos e pensionistas com recursos vinculados</t>
  </si>
  <si>
    <t>(-) Agentes Comunitários de Saúde e de Combate às Endemias com Recursos Vinculados (CF, art. 198, §11)</t>
  </si>
  <si>
    <t>(-) Parcela dedutível referente ao piso salarial do Enfermeiro, Técnico de Enfermagem, Auxiliar de Enfermagem e Parteira (ADCT, art. 38, §2º)</t>
  </si>
  <si>
    <t>DESPESA LÍQUIDA COM PESSOAL (DESPESAS INSCRITAS EM RESTOS A PAGAR NÃO PROCESSADOS)</t>
  </si>
  <si>
    <t>DESPESA LÍQUIDA COM PESSOAL</t>
  </si>
  <si>
    <t>Base de cálculo informada</t>
  </si>
  <si>
    <t>PERCENTUAL DE APLICAÇÃO EM DESPESA COM PESSOAL</t>
  </si>
  <si>
    <t>Quadro 6 – Comportamento da Despesa com Pessoal no Exercício</t>
  </si>
  <si>
    <t>Este quadro demonstra o comportamento da despesa de pessoal no exercício corrente do Município.</t>
  </si>
  <si>
    <t>1º Semestre(R$)</t>
  </si>
  <si>
    <t>(APURADO PELO TCE) (R$)</t>
  </si>
  <si>
    <t>Total Despesa</t>
  </si>
  <si>
    <t>RECEITA CORRENTE LÍQUIDA</t>
  </si>
  <si>
    <t>RECEITA CORRENTE LÍQUIDA )</t>
  </si>
  <si>
    <t>Despesa de Pessoal EXECUTIVO – Limite Legal - 54% do RCL - art. 21 II da LRF</t>
  </si>
  <si>
    <t>Percentual e Valor Apurados</t>
  </si>
  <si>
    <t>Quadro 7 – Dívida Consolidada e Mobiliária</t>
  </si>
  <si>
    <t>Este quadro evidencia se o Município, se enquadra nos limites aceitáveis de sua dívida consolidada e mobiliária.</t>
  </si>
  <si>
    <t>DÍVIDA CONSOLIDADA</t>
  </si>
  <si>
    <t>SALDO DO EXERCÍCIO ANTERIOR</t>
  </si>
  <si>
    <t>Saldo do Exercício de</t>
  </si>
  <si>
    <t>Até o 1º Semestre</t>
  </si>
  <si>
    <t>Até o 2º Semestre</t>
  </si>
  <si>
    <t>DÍVIDA CONSOLIDADA - DC (I)</t>
  </si>
  <si>
    <t>Dívida Mobiliária</t>
  </si>
  <si>
    <t>Dívida Contratual</t>
  </si>
  <si>
    <t>Precatórios posteriores a 05/05/2000 (inclusive) - Vencidos e não pagos</t>
  </si>
  <si>
    <t>Outras Dívidas</t>
  </si>
  <si>
    <t>DEDUÇÕES (II)¹</t>
  </si>
  <si>
    <t>Disponibilidade de Caixa</t>
  </si>
  <si>
    <t>Disponibilidade de Caixa Bruta</t>
  </si>
  <si>
    <t>(-) Restos a Pagar Processados (Exceto Precatórios)</t>
  </si>
  <si>
    <t>Demais Haveres Financeiros</t>
  </si>
  <si>
    <t>DÍVIDA CONSOLIDADA LÍQUIDA (DCL) (III) = (I - II)</t>
  </si>
  <si>
    <t>RECEITA CORRENTE LÍQUIDA - RCL</t>
  </si>
  <si>
    <t>(-) Transferências Obrigatórias da União Relativas às Emendas Individuais (art. 166-A, § 1º, da CF) (V)</t>
  </si>
  <si>
    <t>RECEITA CORRENTE LÍQUIDA AJUSTADA PARA PARA CÁLCULO DOS LIMITES DE ENDIVIDAMENTO (VI) = (IV - V)</t>
  </si>
  <si>
    <t>% da DC sobre a RCL (I/RCL)</t>
  </si>
  <si>
    <t>% da DCL sobre a RCL (III/RCL)</t>
  </si>
  <si>
    <t>LIMITE DEFINIDO POR RESOLUÇÃO DO SENADO FEDERAL</t>
  </si>
  <si>
    <t>LIMITE DE ALERTA (inciso III do § 1º do art. 59 da LRF) - %</t>
  </si>
  <si>
    <t>Quadro 8 – Balanço Orçamentário – Receitas</t>
  </si>
  <si>
    <t>Este quadro detalha a execução orçamentária das receitas por categoria.</t>
  </si>
  <si>
    <t>LINHA</t>
  </si>
  <si>
    <t>PREVISÃO INICIAL</t>
  </si>
  <si>
    <t>PREVISÃO ATUALIZADA</t>
  </si>
  <si>
    <t>SALDO</t>
  </si>
  <si>
    <t>Receitas Correntes (I)</t>
  </si>
  <si>
    <t>Receitas de Capital (II)</t>
  </si>
  <si>
    <t>Subtotal das Receitas (III)</t>
  </si>
  <si>
    <t>Operações de Crédito (IV)</t>
  </si>
  <si>
    <t>Subtotal c/ Refinanciamento (V)</t>
  </si>
  <si>
    <t>Déficit (VI)</t>
  </si>
  <si>
    <t>TOTAL (VII)</t>
  </si>
  <si>
    <t>Saldos Exerc. Anteriores</t>
  </si>
  <si>
    <t>Recursos Arrecadados</t>
  </si>
  <si>
    <t>Superávit Financeiro</t>
  </si>
  <si>
    <t>Reabertura Créditos</t>
  </si>
  <si>
    <t>Quadro 9 – Balanço Orçamentário – Despesas</t>
  </si>
  <si>
    <t>Este quadro apresenta a estrutura das despesas orçamentárias do Município.</t>
  </si>
  <si>
    <t>DOTAÇÃO INICIAL (D)</t>
  </si>
  <si>
    <t>DOTAÇÃO ATUALIZADA (E)</t>
  </si>
  <si>
    <t>EMPENHADA (F)</t>
  </si>
  <si>
    <t>LIQUIDADAS (G)</t>
  </si>
  <si>
    <t>PAGAS (H)</t>
  </si>
  <si>
    <t>SALDO DE DOTAÇÃO (I)=(E)-(F)</t>
  </si>
  <si>
    <t>Despesas Correntes (VIII)</t>
  </si>
  <si>
    <t>Despesas de Capital (IX)</t>
  </si>
  <si>
    <t>Reserva de Contingência (X)</t>
  </si>
  <si>
    <t>Subtotal das Despesas (XI) = (VIII+IX+X)</t>
  </si>
  <si>
    <t>Amortização da Dívida/Refinanciamento (XII)</t>
  </si>
  <si>
    <t>Subtotal c/ Refinanciamento (XIII) = (XI+XII)</t>
  </si>
  <si>
    <t>Superávit (XIV)</t>
  </si>
  <si>
    <t>TOTAL (XV) = (XIII+XIV)</t>
  </si>
  <si>
    <t>Reserva do RPPS</t>
  </si>
  <si>
    <t>Quadro 10 – Efetividade na Arrecadação de Receitas</t>
  </si>
  <si>
    <t>Este quadro avalia a efetividade da arrecadação das receitas orçamentárias.</t>
  </si>
  <si>
    <t>RECEITA TRIBUTÁRIA REALIZADA</t>
  </si>
  <si>
    <t>RECEITA TRIBUTÁRIA ATUALIZADA</t>
  </si>
  <si>
    <t>Excesso</t>
  </si>
  <si>
    <t>Quadro 11 – Comparativo LOA x Balanço Orçamentário</t>
  </si>
  <si>
    <t>Este quadro apresenta a comparação entre os valores previstos na Lei Orçamentária Anual (LOA) e aqueles efetivamente registrados no Balanço Orçamentário (BO) do Município.</t>
  </si>
  <si>
    <t>LOA</t>
  </si>
  <si>
    <t>BO</t>
  </si>
  <si>
    <t>Receita Prevista</t>
  </si>
  <si>
    <t>Dotação Inicial</t>
  </si>
  <si>
    <t>Quadro 12 – Apuração do Resultado Financeiro</t>
  </si>
  <si>
    <t>Este quadro apresenta a apuração do Resultado Financeiro constante no Balanço Patrimonial, evidenciando a relação entre os ativos financeiros e as obrigações a curto prazo.</t>
  </si>
  <si>
    <t>Especificação</t>
  </si>
  <si>
    <t>Exercício Atual</t>
  </si>
  <si>
    <t>Exercício Anterior</t>
  </si>
  <si>
    <t>(+) Ativo Financeiro</t>
  </si>
  <si>
    <t>(-) Passivo Financeiro</t>
  </si>
  <si>
    <t>(+) Saldos dos créditos adicionais transferidos e as operações de crédito vinculadas</t>
  </si>
  <si>
    <t>(=) Superávit/ Déficit Financeiro Apurado</t>
  </si>
  <si>
    <t>Quadro 13 – Evolução do Patrimônio Líquido</t>
  </si>
  <si>
    <t>Este quadro apresenta a evolução do Patrimônio Líquido registrada no Balanço Patrimonial, evidenciando as variações ocorridas no exercício.</t>
  </si>
  <si>
    <t>Patrimônio Líquido 2023 (a)</t>
  </si>
  <si>
    <t>Patrimônio Líquido 2024 (b)</t>
  </si>
  <si>
    <t>Variação (c = b – a)</t>
  </si>
  <si>
    <t>%</t>
  </si>
  <si>
    <t>Quadro 14 – Apuração do Fluxo de Caixa do Período</t>
  </si>
  <si>
    <t>Este quadro apresenta a apuração do fluxo de caixa do período, demonstrando as entradas e saídas financeiras.</t>
  </si>
  <si>
    <t>Geração Líquida de Caixa e Equivalente de Caixa</t>
  </si>
  <si>
    <t>Caixa e Equivalente de Caixa Inicial</t>
  </si>
  <si>
    <t>Caixa e Equivalente de Caixa Final</t>
  </si>
  <si>
    <t>Quadro 15 – Suficiência de Caixa</t>
  </si>
  <si>
    <t>Este quadro evidencia a suficiência ou insuficiência das disponibilidades de caixa do Município em relação ao montante das obrigações de despesa a saldar.</t>
  </si>
  <si>
    <t>VALOR</t>
  </si>
  <si>
    <t>Disponibilidades de Caixa Bruta (A)</t>
  </si>
  <si>
    <t>(-)Depósitos/ Consignações (B)</t>
  </si>
  <si>
    <t>(-)Outras Obrigações (C)</t>
  </si>
  <si>
    <t>DISPONIBILIDADE DE CAIXA LÍQUIDA (D)=(A)-(B)-(C)</t>
  </si>
  <si>
    <t>(-)Restos a pagar (exercícios anteriores) (E)</t>
  </si>
  <si>
    <t>(-)Restos a pagar PROCESSADOS (inscritos no exercício) (F)</t>
  </si>
  <si>
    <t>(-) Restos a pagar NÃO PROCESSADOS (inscritos no exercício) (G)</t>
  </si>
  <si>
    <t>TOTAL RESTO A PAGAR NÃO PAGO (H)=(E)+(F)+(G)</t>
  </si>
  <si>
    <t>(+)Restos a pagar (pago) (I)</t>
  </si>
  <si>
    <t>(+)Restos a pagar PROCESSADOS/Não PROCESSADOS (Cancelados) (J)</t>
  </si>
  <si>
    <t>(+)Restos a pagar PROCESSADOS/ Não PROCESSADOS (Baixados) (K)</t>
  </si>
  <si>
    <t>TOTAL RESTO A PAGAR (L)=(H)-(I)-(J)-(K)</t>
  </si>
  <si>
    <t>SALDO (M)=(D)-(L)</t>
  </si>
  <si>
    <t>Quadro 16 – Análise de Depósitos Restituíveis e Valores Vinculados</t>
  </si>
  <si>
    <t>Este quadro apresenta uma análise comparativa da contabilização dos depósitos restituíveis e dos valores vinculados entre o Balanço Financeiro (BF) e o Balanço Patrimonial (BP) .</t>
  </si>
  <si>
    <t>(-)Depósitos/ Consignações - Recebimentos extraorçamentários (BF) (A)</t>
  </si>
  <si>
    <t>(-)Depósitos/ Consignações - Pagamentos extraorçamentários ( BF)- (B)</t>
  </si>
  <si>
    <t>SALDO (C)=(A)-(B)</t>
  </si>
  <si>
    <t>(-)Depósitos/ Consignações - Recebimentos extraorçamentários (BP) (D)</t>
  </si>
  <si>
    <t>SALDO (E)=(C)-(D)</t>
  </si>
  <si>
    <t>Quadro 17 – Base de Cálculo do Índice de Saúde</t>
  </si>
  <si>
    <t>Este quadro apresenta a apuração da receita proveniente de impostos e transferências utilizada para o cálculo do índice de saúde .</t>
  </si>
  <si>
    <t>RECEITA DE IMPOSTOS</t>
  </si>
  <si>
    <t>Imposto Predial e Territorial Urbano - IPTU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</si>
  <si>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</si>
  <si>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</si>
  <si>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</si>
  <si>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</si>
  <si>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</si>
  <si>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Imposto de Renda Retido na Fonte - IRRF</t>
  </si>
  <si>
    <t>Imposto Territorial Rural - ITR</t>
  </si>
  <si>
    <t>Multas, juros de mora, dívida ativa e outros encargos do ITR</t>
  </si>
  <si>
    <t>Multas, juros de mora e outros encargos dos impostos</t>
  </si>
  <si>
    <t>Dívida ativa dos impostos</t>
  </si>
  <si>
    <t>Multa, juros de mora e outros encargos da dívida ativa</t>
  </si>
  <si>
    <t>RECEITA DE TRANSFERÊNCIAS CONSTITUCIONAIS E LEGAIS</t>
  </si>
  <si>
    <t>Cota-parte FPM</t>
  </si>
  <si>
    <t>Cota-parte ITR</t>
  </si>
  <si>
    <t>Cota-parte IPVA</t>
  </si>
  <si>
    <t>Cota-parte ICMS</t>
  </si>
  <si>
    <t>ICMS-Desoneração – LC nº 87/1996</t>
  </si>
  <si>
    <t>Cota-parte IPI-Exportação</t>
  </si>
  <si>
    <t>Cota-parte IOF-Ouro</t>
  </si>
  <si>
    <t>Outras</t>
  </si>
  <si>
    <t>TOTAL DA RECEITA RESULTANTE DE IMPOSTOS (Base de cálculo)</t>
  </si>
  <si>
    <t>Quadro 18 – Despesas com Ações e Serviços de Saúde</t>
  </si>
  <si>
    <t>Este quadro detalha as despesas realizadas com ações e serviços públicos de saúde.</t>
  </si>
  <si>
    <t>Atenção Básica</t>
  </si>
  <si>
    <t>Assistência Hospitalar e Ambulatorial</t>
  </si>
  <si>
    <t>Suporte Profilático e Terapêuticos</t>
  </si>
  <si>
    <t>Vigilância Sanitária</t>
  </si>
  <si>
    <t>Vigilância Epidemiológica</t>
  </si>
  <si>
    <t>Alimentação e Nutrição</t>
  </si>
  <si>
    <t>Outras Subfunções</t>
  </si>
  <si>
    <t>TOTAL DAS DESPESAS COM SAÚDE</t>
  </si>
  <si>
    <t>(-)Despesas com saúde não computadas para fins de apuração do Percentual Mínimo(Inscritas em restos a pagar não processados )</t>
  </si>
  <si>
    <t>(-) Despesas com inativos e pensionistas</t>
  </si>
  <si>
    <t>(-) Despesa com assistência à saúde que não atende ao princípio de acesso universal</t>
  </si>
  <si>
    <t>(-) Despesas custeadas com outros recursos</t>
  </si>
  <si>
    <t>(-) Outras ações e serviços não computados</t>
  </si>
  <si>
    <t>(-) Restos a pagar não processados inscritos indevidamente no exercício sem disponibilidade financeira</t>
  </si>
  <si>
    <t>(-) Despesas custeadas com disponibilidade de caixa vinculada aos restos a pagar cancelados</t>
  </si>
  <si>
    <t>(-) Despesas custeadas com recursos vinculados a parcela do percentual mínimo que não foi aplicada em ações e serviços de saúde em exercícios anteriores</t>
  </si>
  <si>
    <t>TOTAL DAS DESPESAS COM AÇÕES E SERVIÇOS PÚBLICOS DE SAÚDE, PARA FINS DE APURAÇÃO DO PERCENTUAL MÍNIMO</t>
  </si>
  <si>
    <t>PERCENTUAL DE APLICAÇÃO EM AÇÕES E SERVIÇOS PÚBLICOS DE SAÚDE</t>
  </si>
  <si>
    <t>Quadro 19 – Base de Cálculo do Índice de Manutenção e Desenvolvimento do Ensino (MDE)</t>
  </si>
  <si>
    <t>Este quadro apresenta a apuração da receita proveniente de impostos e transferências utilizada no cálculo do percentual constitucional destinado à Manutenção e Desenvolvimento do Ensino.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</si>
  <si>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</si>
  <si>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</si>
  <si>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</si>
  <si>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</si>
  <si>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</si>
  <si>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Multas, Juros de Mora, Dívida Ativa e Outros Encargos do ITR</t>
  </si>
  <si>
    <t>Multas, Juros de Mora e Outros e Encargos dos Impostos</t>
  </si>
  <si>
    <t>Dívida Ativa dos Impostos</t>
  </si>
  <si>
    <t>Multa, Juros de Mora e Outros Encargos da Dívida Ativa</t>
  </si>
  <si>
    <t>Quadro 20 – Despesas com Manutenção e Desenvolvimento do Ensino (MDE)</t>
  </si>
  <si>
    <t>Este quadro apresenta o cálculo do percentual constitucional aplicado pelo Município nas ações de Manutenção e Desenvolvimento do Ensino (MDE).</t>
  </si>
  <si>
    <t>Total das Despesas custeadas com FUNDEB - Impostos e Transferências de Impostos</t>
  </si>
  <si>
    <t>Total das Despesas custeadas com FUNDEB - Impostos e Transferências de Impostos (valor aplicado até o primeiro quadrimestre que integrarão o limite constitucional)</t>
  </si>
  <si>
    <t>Educação Infantil</t>
  </si>
  <si>
    <t>Ensino Fundamental</t>
  </si>
  <si>
    <t>TOTAL DAS DESPESAS COM AÇÕES TÍPICAS DE MDE</t>
  </si>
  <si>
    <t>(+/-) Resultado Líquido das Transferências do FUNDEB</t>
  </si>
  <si>
    <t>(-) Despesas Custeadas com a Complementação do FUNDEB no Exercício</t>
  </si>
  <si>
    <t>(-) Receita de Aplicação Financeira do FUNDEB</t>
  </si>
  <si>
    <t>(-) Despesas Custeadas com Superávit Financeiro, do Exercício Anterior, do FUNDEB</t>
  </si>
  <si>
    <t>(-) Despesas Custeadas com Outros Recursos</t>
  </si>
  <si>
    <t>(-) Restos a Pagar Inscritos no Exercício sem Disponibilidade Financeira de Recursos de Impostos Vinculados ao Ensino</t>
  </si>
  <si>
    <t>(-) Cancelamento, no Exercício, de Restos a Pagar Inscritos com Disponibilidade Financeira de Recursos de Impostos Vinculados ao Ensino</t>
  </si>
  <si>
    <t>TOTAL DAS DESPESAS PARA FINS DE LIMITE</t>
  </si>
  <si>
    <t>PERCENTUAL DE APLICAÇÃO NO ENSINO</t>
  </si>
  <si>
    <t>Quadro 21 – Recursos Destinados à Formação do FUNDEB</t>
  </si>
  <si>
    <t>Este quadro apresenta a alocação dos recursos destinados à formação do FUNDEB.</t>
  </si>
  <si>
    <t>2.1.1- Cota-parte FPM (Parcela referente à CF, art. 159, I, alínea b)</t>
  </si>
  <si>
    <t>2.2- Cota-parte ICMS</t>
  </si>
  <si>
    <t>2.3- Cota-parte IPI-Exportação</t>
  </si>
  <si>
    <t>2.4- Cota-parte ITR ou ITR Arrecadado</t>
  </si>
  <si>
    <t>2.5- Cota-parte IPVA</t>
  </si>
  <si>
    <t>2.7- Compensações Financeiras Provenientes de Impostos e Transferências Constitucionais</t>
  </si>
  <si>
    <t>RECEITAS DESTINADAS AO FUNDEB (A)=(2.1.1)+(2.2)+(2.3)+(2.4)+(2.5)+(2.7)</t>
  </si>
  <si>
    <t>TOTAL EXIGIDO AO FUNDEB (B) 20% DE ((2.1.1) + (2.2) + (2.3) + (2.4) + (2.5) + (2.7))</t>
  </si>
  <si>
    <t>TOTAL DESTINADO AO FUNDEB APURADO (C)</t>
  </si>
  <si>
    <t>*PERCENTUAL DESTINADO AO FUNDEB (D)=(C)/(A)*100</t>
  </si>
  <si>
    <t>Quadro 22 – Transferências de Recursos ao FUNDEB</t>
  </si>
  <si>
    <t>Este quadro apresenta o saldo resultante das transferências de recursos ao FUNDEB destinadas ao Município.</t>
  </si>
  <si>
    <t>RECEITAS RECEBIDAS DO FUNDEB (E)=(F)+(G)+(H)+(I)+(J)</t>
  </si>
  <si>
    <t>Transferências de recursos do FUNDEB (F)</t>
  </si>
  <si>
    <t>FUNDEB - Complementação da União - VAAF (G)</t>
  </si>
  <si>
    <t>FUNDEB - Complementação da União - VAAT (H)</t>
  </si>
  <si>
    <t>FUNDEB - Complementação da União - VAAR (I)</t>
  </si>
  <si>
    <t>Receita de aplicação financeira dos recursos do FUNDEB (J)</t>
  </si>
  <si>
    <t>TOTAL DESTINADO AO FUNDEB PELO ENTE APURADO (C)</t>
  </si>
  <si>
    <t>RESULTADO LÍQUIDO DAS TRANSFERÊNCIAS DO FUNDEB (K)=(F-C)</t>
  </si>
  <si>
    <t>Quadro SUBFUNÇÃO – Despesas da Educação · Função 12 (Anexo 06)</t>
  </si>
  <si>
    <t>Despesas da Função 12 por subfunção, segregadas entre SEMED/MDE e FUNDEB, conforme coluna TOTAL do Anexo 06.</t>
  </si>
  <si>
    <t>ANEXO 6 – FUNÇÃO 12 · SEMED / MDE (Secretaria Municipal de Educação)</t>
  </si>
  <si>
    <t>SUB FUNÇÃO</t>
  </si>
  <si>
    <t>VALOR – TOTAL (R$)</t>
  </si>
  <si>
    <t>Administração Geral</t>
  </si>
  <si>
    <t>Ensino Médio</t>
  </si>
  <si>
    <t>Educação Especial</t>
  </si>
  <si>
    <t>SUBTOTAL SEMED / MDE</t>
  </si>
  <si>
    <t>ANEXO 6 – FUNÇÃO 12 · FUNDEB (Fundo de Desenvolvimento da Educação Básica)</t>
  </si>
  <si>
    <t>Educação de Jovens e Adultos – EJA</t>
  </si>
  <si>
    <t>SUBTOTAL FUNDEB</t>
  </si>
  <si>
    <t>TOTAL GERAL – FUNÇÃO 12</t>
  </si>
  <si>
    <t>Quadro – Aplicação de 70% do FUNDEB em Remuneração dos Profissionais da Educação Básica</t>
  </si>
  <si>
    <t>Este quadro detalha os gastos do FUNDEB destinados à remuneração dos profissionais da educação básica, correspondentes aos 70% mínimos, realizados pelo Município de {municipio} no exercício de {exercicio}.</t>
  </si>
  <si>
    <t>TCE/MA
VALOR MÍNIMO EXIGIDO</t>
  </si>
  <si>
    <t>FUNDEB Remuneração dos Profissionais da Educação Básica (70%)</t>
  </si>
  <si>
    <t>(-) Restos a Pagar inscritos no exercício s/ disponibilidade de recursos do FUNDEB 70%</t>
  </si>
  <si>
    <t>-</t>
  </si>
  <si>
    <t>(-) Despesas custeadas com superávit financeiro, do exercício anterior, do FUNDEB 70%</t>
  </si>
  <si>
    <t>Valor Aplicado em Remuneração</t>
  </si>
  <si>
    <t>Base de cálculo Informada</t>
  </si>
  <si>
    <t>70,00 %</t>
  </si>
  <si>
    <t>BALANÇO GERAL - ANEXO 6 - FUNDEB 70%</t>
  </si>
  <si>
    <t>Código</t>
  </si>
  <si>
    <t>Valor (R$)</t>
  </si>
  <si>
    <t>12.361</t>
  </si>
  <si>
    <t>Manutenção e Desenvolvimento do Ensino Fundamental</t>
  </si>
  <si>
    <t>Remuneração dos Docentes — Ensino Fundamental</t>
  </si>
  <si>
    <t>Tempo Integral — Ensino Fundamental</t>
  </si>
  <si>
    <t>12.365</t>
  </si>
  <si>
    <t>Manutenção e Desenvolvimento da Educação Infantil</t>
  </si>
  <si>
    <t>VAAT 50% — Educação Infantil</t>
  </si>
  <si>
    <t>Remuneração dos Docentes — Educação Infantil</t>
  </si>
  <si>
    <t>Tempo Integral — Educação Infantil</t>
  </si>
  <si>
    <t>12.366</t>
  </si>
  <si>
    <t>Educação de Jovens e Adultos (EJA)</t>
  </si>
  <si>
    <t>12.367</t>
  </si>
  <si>
    <t>Atendimento Educacional Especializado (AEE) / Educação Especial</t>
  </si>
  <si>
    <t>TOTAL</t>
  </si>
  <si>
    <t>Quadro 24 – Aplicação de 30% do FUNDEB em Outras Despesas</t>
  </si>
  <si>
    <t>Este quadro detalha os gastos do FUNDEB destinados às demais despesas, correspondentes aos 30% restantes, realizados.</t>
  </si>
  <si>
    <t>TCE/MA VALOR MÁXIMO EXIGIDO</t>
  </si>
  <si>
    <t>FUNDEB Outras Despesas ( que não Remuneração dos Profissionais da Educação Básica)</t>
  </si>
  <si>
    <t>(-) Restos a Pagar inscritos no exercício s/ disponibilidade de recursos do FUNDEB 30%</t>
  </si>
  <si>
    <t>(-) Despesas custeadas com superávit financeiro, do exercício anterior, do FUNDEB 30%</t>
  </si>
  <si>
    <t>Valor Aplicado em Outras Despesas</t>
  </si>
  <si>
    <t/>
  </si>
  <si>
    <t>Profissionais da Educação Básica - Art. 212-A, inciso XI e § 3º - Constituição Federal</t>
  </si>
  <si>
    <t>VALOR MÍNIMO EXIGIDO</t>
  </si>
  <si>
    <t>VALOR APLICADO</t>
  </si>
  <si>
    <t>PERCENTUAL %</t>
  </si>
  <si>
    <t>Mínimo de 50% da Complementação da União ao FUNDEB - (VAAT) na Educação Infantil</t>
  </si>
  <si>
    <t>Mínimo de 15% da Complementação da União ao FUNDEB - (VAAT) em Despesas de Capital</t>
  </si>
  <si>
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Dutra","exercicio":"2024"}</t>
  </si>
  <si>
    <t>DADOS PARA PREENCHIMENTO MANUAL — PRESIDENTE DUTRA  /  EXERCÍCIO 2024</t>
  </si>
  <si>
    <t>Preencha a coluna B (VALOR). Após salvar, re-envie este arquivo para gerar o Relatório RIT.</t>
  </si>
  <si>
    <t>CAMPO</t>
  </si>
  <si>
    <t>EXEMPLO</t>
  </si>
  <si>
    <t xml:space="preserve">  IDENTIFICAÇÃO DO PROCESSO</t>
  </si>
  <si>
    <t>rit_numero</t>
  </si>
  <si>
    <t>Número do RIT</t>
  </si>
  <si>
    <t>RIT-001/2024</t>
  </si>
  <si>
    <t>processo_numero</t>
  </si>
  <si>
    <t>Número do processo</t>
  </si>
  <si>
    <t>00100-2024</t>
  </si>
  <si>
    <t>processo_ano</t>
  </si>
  <si>
    <t>Ano do processo</t>
  </si>
  <si>
    <t>2024</t>
  </si>
  <si>
    <t>relator_nome</t>
  </si>
  <si>
    <t>Nome do relator (TCE)</t>
  </si>
  <si>
    <t>Conselheiro João da Silva</t>
  </si>
  <si>
    <t xml:space="preserve">  RESPONSÁVEL PELO MUNICÍPIO</t>
  </si>
  <si>
    <t>responsavel_nome</t>
  </si>
  <si>
    <t>Nome do responsável (Prefeito/a)</t>
  </si>
  <si>
    <t>Maria Souza</t>
  </si>
  <si>
    <t>responsavel_cpf</t>
  </si>
  <si>
    <t>CPF do responsável</t>
  </si>
  <si>
    <t>000.000.000-00</t>
  </si>
  <si>
    <t xml:space="preserve">  LOCALIZAÇÃO GEOGRÁFICA</t>
  </si>
  <si>
    <t>municipio_uf</t>
  </si>
  <si>
    <t>Sigla do estado (ex: MA)</t>
  </si>
  <si>
    <t>MA</t>
  </si>
  <si>
    <t>municipio_estado</t>
  </si>
  <si>
    <t>Estado por extenso</t>
  </si>
  <si>
    <t>Maranhão</t>
  </si>
  <si>
    <t>municipio_regiao</t>
  </si>
  <si>
    <t>Mesorregião / região</t>
  </si>
  <si>
    <t>Baixada Maranhense</t>
  </si>
  <si>
    <t xml:space="preserve">  PERFIL SOCIOECONÔMICO</t>
  </si>
  <si>
    <t>populacao_estimada</t>
  </si>
  <si>
    <t>População estimada (hab.)</t>
  </si>
  <si>
    <t>48000</t>
  </si>
  <si>
    <t>area_territorial</t>
  </si>
  <si>
    <t>Área territorial (km²)</t>
  </si>
  <si>
    <t>5273.40</t>
  </si>
  <si>
    <t>pib_per_capita</t>
  </si>
  <si>
    <t>PIB per capita (R$)</t>
  </si>
  <si>
    <t>12300.00</t>
  </si>
  <si>
    <t>idh</t>
  </si>
  <si>
    <t>IDH (0,000 a 1,000)</t>
  </si>
  <si>
    <t>0.619</t>
  </si>
  <si>
    <t>classificacao_idh</t>
  </si>
  <si>
    <t>Classificação do IDH</t>
  </si>
  <si>
    <t>Médio Desenvolvimento</t>
  </si>
  <si>
    <t>ideb</t>
  </si>
  <si>
    <t>IDEB (0,0 a 10,0)</t>
  </si>
  <si>
    <t>4.2</t>
  </si>
  <si>
    <t>classificacao_ideb</t>
  </si>
  <si>
    <t>Classificação do IDEB</t>
  </si>
  <si>
    <t>Abaixo da Meta Nacional</t>
  </si>
  <si>
    <t>descricao_atividades</t>
  </si>
  <si>
    <t>Principais atividades econômicas</t>
  </si>
  <si>
    <t>Comércio, agropecuária e serviços públicos</t>
  </si>
  <si>
    <t xml:space="preserve">  CÂMARA MUNICIPAL</t>
  </si>
  <si>
    <t>camara_pct_limite</t>
  </si>
  <si>
    <t>Limite legal da Câmara (% da RCL)</t>
  </si>
  <si>
    <t>3.5</t>
  </si>
  <si>
    <t>camara_repassado</t>
  </si>
  <si>
    <t>Valor total repassado à Câmara (R$)</t>
  </si>
  <si>
    <t>1500000.00</t>
  </si>
  <si>
    <t>camara_pct_apurado</t>
  </si>
  <si>
    <t>Percentual apurado (%)</t>
  </si>
  <si>
    <t>3.20</t>
  </si>
  <si>
    <t>camara_sit_limite</t>
  </si>
  <si>
    <t>Situação do repasse vs. limite</t>
  </si>
  <si>
    <t>Dentro do limite</t>
  </si>
  <si>
    <t>camara_prazo</t>
  </si>
  <si>
    <t>Situação do prazo de repasse</t>
  </si>
  <si>
    <t>Repassado até o dia 20</t>
  </si>
  <si>
    <t xml:space="preserve">  TRANSPARÊNCIA</t>
  </si>
  <si>
    <t>transp_faixa</t>
  </si>
  <si>
    <t>Faixa de transparência obtida</t>
  </si>
  <si>
    <t>Diamante</t>
  </si>
  <si>
    <t xml:space="preserve">  DÍVIDA CONSOLIDADA (Q7 — preencher manualmente)</t>
  </si>
  <si>
    <t>divida_saldo</t>
  </si>
  <si>
    <t>Saldo da DCL (R$)</t>
  </si>
  <si>
    <t>0.00</t>
  </si>
  <si>
    <t>divida_pct_rcl</t>
  </si>
  <si>
    <t>DCL apurada (% da RCL)</t>
  </si>
  <si>
    <t>divida_limite</t>
  </si>
  <si>
    <t>Limite legal da DCL (% da RCL)</t>
  </si>
  <si>
    <t>120</t>
  </si>
  <si>
    <t>divida_alerta</t>
  </si>
  <si>
    <t>Patamar de alerta da DCL (% da RCL)</t>
  </si>
  <si>
    <t>90</t>
  </si>
  <si>
    <t>divida_situacao</t>
  </si>
  <si>
    <t>Situação da dívida</t>
  </si>
  <si>
    <t xml:space="preserve">  DESPESA COM PESSOAL — COMPLEMENTOS</t>
  </si>
  <si>
    <t>dp_pct_inicio_sem</t>
  </si>
  <si>
    <t>% Pessoal início do 1º semestre</t>
  </si>
  <si>
    <t>51.20</t>
  </si>
  <si>
    <t>dp_regime_especial</t>
  </si>
  <si>
    <t>Regime especial LRF art. 23 ativo?</t>
  </si>
  <si>
    <t>Não</t>
  </si>
  <si>
    <t>dp_restricao_mandato</t>
  </si>
  <si>
    <t>Observações sobre restrições</t>
  </si>
  <si>
    <t>Não se aplica</t>
  </si>
  <si>
    <t xml:space="preserve">  COMPARATIVO LOA x BALANÇO ORÇAMENTÁRIO (Q11 — preencher se a LOA não foi enviada)</t>
  </si>
  <si>
    <t>q11_loa_receita</t>
  </si>
  <si>
    <t>Receita prevista na LOA (R$)</t>
  </si>
  <si>
    <t>50000000.00</t>
  </si>
  <si>
    <t>q11_loa_despesa</t>
  </si>
  <si>
    <t>Dotação inicial da despesa na LOA (R$)</t>
  </si>
  <si>
    <t xml:space="preserve">  PROCESSO ORÇAMENTÁRIO</t>
  </si>
  <si>
    <t>proc_envio</t>
  </si>
  <si>
    <t>Situação do envio das peças ao TCE</t>
  </si>
  <si>
    <t>Enviado dentro do prazo</t>
  </si>
  <si>
    <t>proc_publicacao</t>
  </si>
  <si>
    <t>Situação da publicação da LOA</t>
  </si>
  <si>
    <t>Publicada em 28/12/2023</t>
  </si>
  <si>
    <t xml:space="preserve">  ESCRITURAÇÃO CONTÁBIL</t>
  </si>
  <si>
    <t>escrit_relatorio</t>
  </si>
  <si>
    <t>Situação do Relatório de Gestão Fiscal</t>
  </si>
  <si>
    <t>Publicado nos prazos</t>
  </si>
  <si>
    <t>escrit_assinatura</t>
  </si>
  <si>
    <t>Situação das assinaturas das peças</t>
  </si>
  <si>
    <t>Devidamente assinadas</t>
  </si>
  <si>
    <t>contabil_apres</t>
  </si>
  <si>
    <t>Demonstrações foram apresentadas?</t>
  </si>
  <si>
    <t>Apresentadas</t>
  </si>
  <si>
    <t>contabil_conform</t>
  </si>
  <si>
    <t>Conformidade geral da escrituração</t>
  </si>
  <si>
    <t>Conforme</t>
  </si>
  <si>
    <t>dep_inconsistencia</t>
  </si>
  <si>
    <t>Inconsistência de depósitos (Q16)</t>
  </si>
  <si>
    <t>Sem inconsistência</t>
  </si>
  <si>
    <t xml:space="preserve">  OBSERVAÇÕES GERAIS</t>
  </si>
  <si>
    <t>obs_gerais</t>
  </si>
  <si>
    <t>Observações adicionais</t>
  </si>
  <si>
    <t>conformidade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</si>
</sst>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4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3"/>
      <color rgb="FFB8860B"/>
      <name val="Calibri"/>
    </font>
    <font>
      <i/>
      <sz val="10"/>
      <color rgb="FF595959"/>
      <name val="Calibri"/>
    </font>
    <font>
      <b/>
      <sz val="11"/>
      <color rgb="FFFFFFFF"/>
      <name val="Calibri"/>
      <family val="2"/>
      <scheme val="minor"/>
    </font>
    <font>
      <b/>
      <sz val="11"/>
      <color rgb="FFB8860B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7A5C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  <font>
      <sz val="11"/>
      <color theme="1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</font>
    <font>
      <b/>
      <sz val="11"/>
      <color theme="1"/>
      <name val="Calibri"/>
    </font>
    <font>
      <i/>
      <sz val="10"/>
      <color rgb="FF595959"/>
      <name val="Calibri"/>
      <family val="2"/>
    </font>
    <font>
      <b/>
      <sz val="11"/>
      <color rgb="FF7A5C0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1"/>
      <color rgb="FF7A5C00"/>
      <name val="Calibri"/>
      <scheme val="minor"/>
    </font>
    <font>
      <b/>
      <sz val="12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1"/>
      <color rgb="FF7A5C00"/>
      <name val="Calibri"/>
      <family val="2"/>
      <scheme val="minor"/>
    </font>
    <font>
      <sz val="12"/>
      <color rgb="FFFFFFFF"/>
      <name val="Calibri"/>
      <scheme val="minor"/>
    </font>
    <font>
      <i/>
      <sz val="10"/>
      <color rgb="FF595959"/>
      <name val="Calibri"/>
      <scheme val="minor"/>
    </font>
    <font>
      <sz val="11"/>
      <color rgb="FFFFFFFF"/>
      <name val="Calibri"/>
      <scheme val="minor"/>
    </font>
    <font>
      <b/>
      <sz val="12"/>
      <color rgb="FFFFFFFF"/>
      <name val="Calibri"/>
      <scheme val="minor"/>
    </font>
    <font>
      <b/>
      <i/>
      <sz val="11"/>
      <color rgb="FFFFFFFF"/>
      <name val="Calibri"/>
      <scheme val="minor"/>
    </font>
    <font>
      <sz val="11"/>
      <color theme="1"/>
      <name val="Calibri"/>
      <scheme val="minor"/>
    </font>
    <font>
      <b/>
      <sz val="12"/>
      <color rgb="FFFFFFFF"/>
      <name val="Calibri"/>
    </font>
    <font>
      <i/>
      <sz val="10"/>
      <color rgb="FF555555"/>
      <name val="Calibri"/>
    </font>
    <font>
      <i/>
      <sz val="9"/>
      <color rgb="FF88888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7B5500"/>
      </patternFill>
    </fill>
    <fill>
      <patternFill patternType="solid">
        <fgColor rgb="FFB8860B"/>
      </patternFill>
    </fill>
    <fill>
      <patternFill patternType="solid">
        <fgColor rgb="FFFFF3CD"/>
      </patternFill>
    </fill>
    <fill>
      <patternFill patternType="solid">
        <fgColor rgb="FFD5E8D4"/>
      </patternFill>
    </fill>
    <fill>
      <patternFill patternType="solid">
        <fgColor rgb="FFE2E3E5"/>
      </patternFill>
    </fill>
    <fill>
      <patternFill patternType="solid">
        <fgColor rgb="FF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1E3A5F"/>
      </patternFill>
    </fill>
    <fill>
      <patternFill patternType="solid">
        <fgColor rgb="FF2E86AB"/>
      </patternFill>
    </fill>
    <fill>
      <patternFill patternType="solid">
        <fgColor rgb="FFF5F5F5"/>
      </patternFill>
    </fill>
    <fill>
      <patternFill patternType="solid">
        <fgColor rgb="FF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/>
    <xf numFmtId="0" fontId="7" fillId="0" borderId="0" xfId="0" applyFont="1" applyAlignment="1">
      <alignment wrapText="1"/>
    </xf>
    <xf numFmtId="0" fontId="8" fillId="9" borderId="1" xfId="0" applyFont="1" applyFill="1" applyBorder="1" applyAlignment="1">
      <alignment horizontal="left"/>
    </xf>
    <xf numFmtId="0" fontId="8" fillId="9" borderId="2" xfId="0" applyFont="1" applyFill="1" applyBorder="1" applyAlignment="1">
      <alignment horizontal="center"/>
    </xf>
    <xf numFmtId="0" fontId="9" fillId="10" borderId="3" xfId="0" applyFont="1" applyFill="1" applyBorder="1"/>
    <xf numFmtId="164" fontId="9" fillId="10" borderId="4" xfId="0" applyNumberFormat="1" applyFont="1" applyFill="1" applyBorder="1" applyAlignment="1">
      <alignment horizontal="right"/>
    </xf>
    <xf numFmtId="0" fontId="10" fillId="0" borderId="5" xfId="0" applyFont="1" applyBorder="1" applyAlignment="1">
      <alignment indent="1"/>
    </xf>
    <xf numFmtId="164" fontId="10" fillId="0" borderId="6" xfId="0" applyNumberFormat="1" applyFont="1" applyBorder="1" applyAlignment="1">
      <alignment horizontal="right"/>
    </xf>
    <xf numFmtId="0" fontId="9" fillId="10" borderId="5" xfId="0" applyFont="1" applyFill="1" applyBorder="1"/>
    <xf numFmtId="164" fontId="9" fillId="10" borderId="6" xfId="0" applyNumberFormat="1" applyFont="1" applyFill="1" applyBorder="1" applyAlignment="1">
      <alignment horizontal="right"/>
    </xf>
    <xf numFmtId="0" fontId="10" fillId="0" borderId="7" xfId="0" applyFont="1" applyBorder="1" applyAlignment="1">
      <alignment indent="1"/>
    </xf>
    <xf numFmtId="164" fontId="10" fillId="0" borderId="8" xfId="0" applyNumberFormat="1" applyFont="1" applyBorder="1" applyAlignment="1">
      <alignment horizontal="right"/>
    </xf>
    <xf numFmtId="0" fontId="8" fillId="9" borderId="9" xfId="0" applyFont="1" applyFill="1" applyBorder="1"/>
    <xf numFmtId="164" fontId="8" fillId="9" borderId="10" xfId="0" applyNumberFormat="1" applyFont="1" applyFill="1" applyBorder="1" applyAlignment="1">
      <alignment horizontal="right"/>
    </xf>
    <xf numFmtId="0" fontId="11" fillId="8" borderId="0" xfId="0" applyFont="1" applyFill="1"/>
    <xf numFmtId="0" fontId="7" fillId="0" borderId="0" xfId="0" applyFont="1"/>
    <xf numFmtId="0" fontId="12" fillId="9" borderId="11" xfId="0" applyFont="1" applyFill="1" applyBorder="1" applyAlignment="1">
      <alignment horizontal="center"/>
    </xf>
    <xf numFmtId="0" fontId="12" fillId="9" borderId="12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165" fontId="13" fillId="8" borderId="14" xfId="0" applyNumberFormat="1" applyFont="1" applyFill="1" applyBorder="1" applyAlignment="1">
      <alignment horizontal="right"/>
    </xf>
    <xf numFmtId="165" fontId="13" fillId="8" borderId="15" xfId="0" applyNumberFormat="1" applyFont="1" applyFill="1" applyBorder="1" applyAlignment="1">
      <alignment horizontal="right"/>
    </xf>
    <xf numFmtId="0" fontId="14" fillId="11" borderId="16" xfId="0" applyFont="1" applyFill="1" applyBorder="1" applyAlignment="1">
      <alignment horizontal="left"/>
    </xf>
    <xf numFmtId="0" fontId="11" fillId="0" borderId="0" xfId="0" applyFont="1"/>
    <xf numFmtId="0" fontId="12" fillId="9" borderId="17" xfId="0" applyFont="1" applyFill="1" applyBorder="1" applyAlignment="1">
      <alignment horizontal="left"/>
    </xf>
    <xf numFmtId="0" fontId="12" fillId="9" borderId="18" xfId="0" applyFont="1" applyFill="1" applyBorder="1" applyAlignment="1">
      <alignment horizontal="left"/>
    </xf>
    <xf numFmtId="0" fontId="15" fillId="0" borderId="19" xfId="0" applyFont="1" applyBorder="1" applyAlignment="1">
      <alignment vertical="center" wrapText="1"/>
    </xf>
    <xf numFmtId="165" fontId="15" fillId="0" borderId="20" xfId="0" applyNumberFormat="1" applyFont="1" applyBorder="1" applyAlignment="1">
      <alignment horizontal="right"/>
    </xf>
    <xf numFmtId="0" fontId="14" fillId="11" borderId="19" xfId="0" applyFont="1" applyFill="1" applyBorder="1" applyAlignment="1">
      <alignment vertical="center" wrapText="1"/>
    </xf>
    <xf numFmtId="165" fontId="14" fillId="11" borderId="20" xfId="0" applyNumberFormat="1" applyFont="1" applyFill="1" applyBorder="1" applyAlignment="1">
      <alignment horizontal="right"/>
    </xf>
    <xf numFmtId="0" fontId="12" fillId="9" borderId="14" xfId="0" applyFont="1" applyFill="1" applyBorder="1" applyAlignment="1">
      <alignment vertical="center" wrapText="1"/>
    </xf>
    <xf numFmtId="165" fontId="12" fillId="9" borderId="16" xfId="0" applyNumberFormat="1" applyFont="1" applyFill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/>
    <xf numFmtId="0" fontId="19" fillId="9" borderId="21" xfId="0" applyFont="1" applyFill="1" applyBorder="1" applyAlignment="1">
      <alignment vertical="center" wrapText="1"/>
    </xf>
    <xf numFmtId="0" fontId="8" fillId="9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vertical="center" wrapText="1"/>
    </xf>
    <xf numFmtId="166" fontId="18" fillId="8" borderId="24" xfId="0" applyNumberFormat="1" applyFont="1" applyFill="1" applyBorder="1" applyAlignment="1">
      <alignment horizontal="right"/>
    </xf>
    <xf numFmtId="0" fontId="18" fillId="8" borderId="23" xfId="0" applyFont="1" applyFill="1" applyBorder="1" applyAlignment="1">
      <alignment vertical="center" wrapText="1"/>
    </xf>
    <xf numFmtId="0" fontId="8" fillId="9" borderId="23" xfId="0" applyFont="1" applyFill="1" applyBorder="1" applyAlignment="1">
      <alignment vertical="center" wrapText="1"/>
    </xf>
    <xf numFmtId="166" fontId="8" fillId="9" borderId="24" xfId="0" applyNumberFormat="1" applyFont="1" applyFill="1" applyBorder="1" applyAlignment="1">
      <alignment horizontal="right"/>
    </xf>
    <xf numFmtId="164" fontId="8" fillId="9" borderId="23" xfId="0" applyNumberFormat="1" applyFont="1" applyFill="1" applyBorder="1" applyAlignment="1">
      <alignment horizontal="right"/>
    </xf>
    <xf numFmtId="166" fontId="8" fillId="9" borderId="24" xfId="0" applyNumberFormat="1" applyFont="1" applyFill="1" applyBorder="1" applyAlignment="1">
      <alignment vertical="center" wrapText="1"/>
    </xf>
    <xf numFmtId="0" fontId="8" fillId="9" borderId="25" xfId="0" applyFont="1" applyFill="1" applyBorder="1" applyAlignment="1">
      <alignment vertical="center" wrapText="1"/>
    </xf>
    <xf numFmtId="167" fontId="18" fillId="8" borderId="24" xfId="0" applyNumberFormat="1" applyFont="1" applyFill="1" applyBorder="1" applyAlignment="1">
      <alignment horizontal="right"/>
    </xf>
    <xf numFmtId="0" fontId="12" fillId="9" borderId="26" xfId="0" applyFont="1" applyFill="1" applyBorder="1" applyAlignment="1">
      <alignment horizontal="left" vertical="center"/>
    </xf>
    <xf numFmtId="0" fontId="12" fillId="9" borderId="26" xfId="0" applyFont="1" applyFill="1" applyBorder="1" applyAlignment="1">
      <alignment vertical="center"/>
    </xf>
    <xf numFmtId="0" fontId="13" fillId="8" borderId="26" xfId="0" applyFont="1" applyFill="1" applyBorder="1" applyAlignment="1">
      <alignment horizontal="left" vertical="center"/>
    </xf>
    <xf numFmtId="168" fontId="13" fillId="8" borderId="26" xfId="0" applyNumberFormat="1" applyFont="1" applyFill="1" applyBorder="1" applyAlignment="1">
      <alignment horizontal="right"/>
    </xf>
    <xf numFmtId="0" fontId="13" fillId="12" borderId="26" xfId="0" applyFont="1" applyFill="1" applyBorder="1" applyAlignment="1">
      <alignment horizontal="left" vertical="center"/>
    </xf>
    <xf numFmtId="168" fontId="13" fillId="12" borderId="26" xfId="0" applyNumberFormat="1" applyFont="1" applyFill="1" applyBorder="1" applyAlignment="1">
      <alignment horizontal="right"/>
    </xf>
    <xf numFmtId="0" fontId="21" fillId="13" borderId="26" xfId="0" applyFont="1" applyFill="1" applyBorder="1" applyAlignment="1">
      <alignment horizontal="left" vertical="center" wrapText="1"/>
    </xf>
    <xf numFmtId="168" fontId="21" fillId="13" borderId="26" xfId="0" applyNumberFormat="1" applyFont="1" applyFill="1" applyBorder="1" applyAlignment="1">
      <alignment horizontal="right"/>
    </xf>
    <xf numFmtId="0" fontId="21" fillId="13" borderId="26" xfId="0" applyFont="1" applyFill="1" applyBorder="1" applyAlignment="1">
      <alignment horizontal="left" vertical="center"/>
    </xf>
    <xf numFmtId="167" fontId="21" fillId="13" borderId="26" xfId="0" applyNumberFormat="1" applyFont="1" applyFill="1" applyBorder="1" applyAlignment="1">
      <alignment horizontal="right"/>
    </xf>
    <xf numFmtId="0" fontId="12" fillId="9" borderId="27" xfId="0" applyFont="1" applyFill="1" applyBorder="1" applyAlignment="1">
      <alignment horizontal="left" vertical="center"/>
    </xf>
    <xf numFmtId="0" fontId="12" fillId="9" borderId="27" xfId="0" applyFont="1" applyFill="1" applyBorder="1" applyAlignment="1">
      <alignment horizontal="center" vertical="center"/>
    </xf>
    <xf numFmtId="0" fontId="10" fillId="0" borderId="28" xfId="0" applyFont="1" applyBorder="1"/>
    <xf numFmtId="0" fontId="10" fillId="0" borderId="29" xfId="0" applyFont="1" applyBorder="1"/>
    <xf numFmtId="0" fontId="21" fillId="13" borderId="27" xfId="0" applyFont="1" applyFill="1" applyBorder="1" applyAlignment="1">
      <alignment horizontal="left" vertical="center" wrapText="1"/>
    </xf>
    <xf numFmtId="168" fontId="21" fillId="13" borderId="27" xfId="0" applyNumberFormat="1" applyFont="1" applyFill="1" applyBorder="1" applyAlignment="1">
      <alignment horizontal="right"/>
    </xf>
    <xf numFmtId="0" fontId="13" fillId="12" borderId="27" xfId="0" applyFont="1" applyFill="1" applyBorder="1" applyAlignment="1">
      <alignment horizontal="left" vertical="center" wrapText="1"/>
    </xf>
    <xf numFmtId="168" fontId="13" fillId="12" borderId="27" xfId="0" applyNumberFormat="1" applyFont="1" applyFill="1" applyBorder="1" applyAlignment="1">
      <alignment horizontal="right"/>
    </xf>
    <xf numFmtId="0" fontId="13" fillId="8" borderId="27" xfId="0" applyFont="1" applyFill="1" applyBorder="1" applyAlignment="1">
      <alignment horizontal="left" vertical="center" wrapText="1"/>
    </xf>
    <xf numFmtId="168" fontId="13" fillId="8" borderId="27" xfId="0" applyNumberFormat="1" applyFont="1" applyFill="1" applyBorder="1" applyAlignment="1">
      <alignment horizontal="right"/>
    </xf>
    <xf numFmtId="168" fontId="13" fillId="12" borderId="27" xfId="0" applyNumberFormat="1" applyFont="1" applyFill="1" applyBorder="1" applyAlignment="1">
      <alignment horizontal="left" vertical="center"/>
    </xf>
    <xf numFmtId="10" fontId="13" fillId="8" borderId="27" xfId="0" applyNumberFormat="1" applyFont="1" applyFill="1" applyBorder="1" applyAlignment="1">
      <alignment horizontal="right"/>
    </xf>
    <xf numFmtId="10" fontId="13" fillId="12" borderId="27" xfId="0" applyNumberFormat="1" applyFont="1" applyFill="1" applyBorder="1" applyAlignment="1">
      <alignment horizontal="right"/>
    </xf>
    <xf numFmtId="0" fontId="12" fillId="9" borderId="30" xfId="0" applyFont="1" applyFill="1" applyBorder="1" applyAlignment="1">
      <alignment horizontal="left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5" fillId="8" borderId="33" xfId="0" applyFont="1" applyFill="1" applyBorder="1" applyAlignment="1">
      <alignment horizontal="left" vertical="center" indent="1"/>
    </xf>
    <xf numFmtId="169" fontId="15" fillId="8" borderId="34" xfId="0" applyNumberFormat="1" applyFont="1" applyFill="1" applyBorder="1" applyAlignment="1">
      <alignment horizontal="right"/>
    </xf>
    <xf numFmtId="169" fontId="15" fillId="8" borderId="35" xfId="0" applyNumberFormat="1" applyFont="1" applyFill="1" applyBorder="1" applyAlignment="1">
      <alignment horizontal="right"/>
    </xf>
    <xf numFmtId="0" fontId="15" fillId="12" borderId="33" xfId="0" applyFont="1" applyFill="1" applyBorder="1" applyAlignment="1">
      <alignment horizontal="left" vertical="center" indent="1"/>
    </xf>
    <xf numFmtId="169" fontId="15" fillId="12" borderId="34" xfId="0" applyNumberFormat="1" applyFont="1" applyFill="1" applyBorder="1" applyAlignment="1">
      <alignment horizontal="right"/>
    </xf>
    <xf numFmtId="169" fontId="15" fillId="12" borderId="35" xfId="0" applyNumberFormat="1" applyFont="1" applyFill="1" applyBorder="1" applyAlignment="1">
      <alignment horizontal="right"/>
    </xf>
    <xf numFmtId="0" fontId="22" fillId="14" borderId="33" xfId="0" applyFont="1" applyFill="1" applyBorder="1" applyAlignment="1">
      <alignment horizontal="left" vertical="center" indent="1"/>
    </xf>
    <xf numFmtId="169" fontId="22" fillId="14" borderId="34" xfId="0" applyNumberFormat="1" applyFont="1" applyFill="1" applyBorder="1" applyAlignment="1">
      <alignment horizontal="right"/>
    </xf>
    <xf numFmtId="169" fontId="22" fillId="14" borderId="35" xfId="0" applyNumberFormat="1" applyFont="1" applyFill="1" applyBorder="1" applyAlignment="1">
      <alignment horizontal="right"/>
    </xf>
    <xf numFmtId="0" fontId="15" fillId="12" borderId="36" xfId="0" applyFont="1" applyFill="1" applyBorder="1" applyAlignment="1">
      <alignment horizontal="left" vertical="center" indent="1"/>
    </xf>
    <xf numFmtId="169" fontId="15" fillId="12" borderId="37" xfId="0" applyNumberFormat="1" applyFont="1" applyFill="1" applyBorder="1" applyAlignment="1">
      <alignment horizontal="right"/>
    </xf>
    <xf numFmtId="169" fontId="15" fillId="12" borderId="38" xfId="0" applyNumberFormat="1" applyFont="1" applyFill="1" applyBorder="1" applyAlignment="1">
      <alignment horizontal="right"/>
    </xf>
    <xf numFmtId="0" fontId="22" fillId="13" borderId="30" xfId="0" applyFont="1" applyFill="1" applyBorder="1" applyAlignment="1">
      <alignment horizontal="left" vertical="center" indent="1"/>
    </xf>
    <xf numFmtId="169" fontId="22" fillId="13" borderId="31" xfId="0" applyNumberFormat="1" applyFont="1" applyFill="1" applyBorder="1" applyAlignment="1">
      <alignment horizontal="right"/>
    </xf>
    <xf numFmtId="169" fontId="22" fillId="13" borderId="32" xfId="0" applyNumberFormat="1" applyFont="1" applyFill="1" applyBorder="1" applyAlignment="1">
      <alignment horizontal="right"/>
    </xf>
    <xf numFmtId="0" fontId="15" fillId="8" borderId="39" xfId="0" applyFont="1" applyFill="1" applyBorder="1" applyAlignment="1">
      <alignment horizontal="left" vertical="center" indent="1"/>
    </xf>
    <xf numFmtId="169" fontId="15" fillId="8" borderId="40" xfId="0" applyNumberFormat="1" applyFont="1" applyFill="1" applyBorder="1" applyAlignment="1">
      <alignment horizontal="right"/>
    </xf>
    <xf numFmtId="169" fontId="15" fillId="8" borderId="41" xfId="0" applyNumberFormat="1" applyFont="1" applyFill="1" applyBorder="1" applyAlignment="1">
      <alignment horizontal="right"/>
    </xf>
    <xf numFmtId="0" fontId="15" fillId="12" borderId="42" xfId="0" applyFont="1" applyFill="1" applyBorder="1" applyAlignment="1">
      <alignment horizontal="left" vertical="center" indent="1"/>
    </xf>
    <xf numFmtId="169" fontId="15" fillId="12" borderId="43" xfId="0" applyNumberFormat="1" applyFont="1" applyFill="1" applyBorder="1" applyAlignment="1">
      <alignment horizontal="right"/>
    </xf>
    <xf numFmtId="169" fontId="15" fillId="12" borderId="44" xfId="0" applyNumberFormat="1" applyFont="1" applyFill="1" applyBorder="1" applyAlignment="1">
      <alignment horizontal="right"/>
    </xf>
    <xf numFmtId="0" fontId="12" fillId="9" borderId="45" xfId="0" applyFont="1" applyFill="1" applyBorder="1" applyAlignment="1">
      <alignment horizontal="left" vertical="center"/>
    </xf>
    <xf numFmtId="0" fontId="12" fillId="9" borderId="46" xfId="0" applyFont="1" applyFill="1" applyBorder="1" applyAlignment="1">
      <alignment horizontal="center" vertical="center"/>
    </xf>
    <xf numFmtId="0" fontId="12" fillId="9" borderId="47" xfId="0" applyFont="1" applyFill="1" applyBorder="1" applyAlignment="1">
      <alignment horizontal="center" vertical="center"/>
    </xf>
    <xf numFmtId="0" fontId="13" fillId="8" borderId="39" xfId="0" applyFont="1" applyFill="1" applyBorder="1" applyAlignment="1">
      <alignment horizontal="left"/>
    </xf>
    <xf numFmtId="169" fontId="13" fillId="8" borderId="40" xfId="0" applyNumberFormat="1" applyFont="1" applyFill="1" applyBorder="1" applyAlignment="1">
      <alignment horizontal="right"/>
    </xf>
    <xf numFmtId="169" fontId="13" fillId="8" borderId="41" xfId="0" applyNumberFormat="1" applyFont="1" applyFill="1" applyBorder="1" applyAlignment="1">
      <alignment horizontal="right"/>
    </xf>
    <xf numFmtId="0" fontId="13" fillId="12" borderId="33" xfId="0" applyFont="1" applyFill="1" applyBorder="1" applyAlignment="1">
      <alignment horizontal="left"/>
    </xf>
    <xf numFmtId="169" fontId="13" fillId="12" borderId="34" xfId="0" applyNumberFormat="1" applyFont="1" applyFill="1" applyBorder="1" applyAlignment="1">
      <alignment horizontal="right"/>
    </xf>
    <xf numFmtId="169" fontId="13" fillId="12" borderId="35" xfId="0" applyNumberFormat="1" applyFont="1" applyFill="1" applyBorder="1" applyAlignment="1">
      <alignment horizontal="right"/>
    </xf>
    <xf numFmtId="0" fontId="13" fillId="8" borderId="33" xfId="0" applyFont="1" applyFill="1" applyBorder="1" applyAlignment="1">
      <alignment horizontal="left"/>
    </xf>
    <xf numFmtId="169" fontId="13" fillId="8" borderId="34" xfId="0" applyNumberFormat="1" applyFont="1" applyFill="1" applyBorder="1" applyAlignment="1">
      <alignment horizontal="right"/>
    </xf>
    <xf numFmtId="169" fontId="13" fillId="8" borderId="35" xfId="0" applyNumberFormat="1" applyFont="1" applyFill="1" applyBorder="1" applyAlignment="1">
      <alignment horizontal="right"/>
    </xf>
    <xf numFmtId="0" fontId="21" fillId="14" borderId="33" xfId="0" applyFont="1" applyFill="1" applyBorder="1" applyAlignment="1">
      <alignment horizontal="left"/>
    </xf>
    <xf numFmtId="169" fontId="21" fillId="14" borderId="34" xfId="0" applyNumberFormat="1" applyFont="1" applyFill="1" applyBorder="1" applyAlignment="1">
      <alignment horizontal="right"/>
    </xf>
    <xf numFmtId="169" fontId="21" fillId="14" borderId="35" xfId="0" applyNumberFormat="1" applyFont="1" applyFill="1" applyBorder="1" applyAlignment="1">
      <alignment horizontal="right"/>
    </xf>
    <xf numFmtId="0" fontId="21" fillId="13" borderId="33" xfId="0" applyFont="1" applyFill="1" applyBorder="1" applyAlignment="1">
      <alignment horizontal="left"/>
    </xf>
    <xf numFmtId="169" fontId="21" fillId="13" borderId="34" xfId="0" applyNumberFormat="1" applyFont="1" applyFill="1" applyBorder="1" applyAlignment="1">
      <alignment horizontal="right"/>
    </xf>
    <xf numFmtId="169" fontId="21" fillId="13" borderId="35" xfId="0" applyNumberFormat="1" applyFont="1" applyFill="1" applyBorder="1" applyAlignment="1">
      <alignment horizontal="right"/>
    </xf>
    <xf numFmtId="0" fontId="13" fillId="8" borderId="42" xfId="0" applyFont="1" applyFill="1" applyBorder="1" applyAlignment="1">
      <alignment horizontal="left"/>
    </xf>
    <xf numFmtId="169" fontId="13" fillId="8" borderId="43" xfId="0" applyNumberFormat="1" applyFont="1" applyFill="1" applyBorder="1" applyAlignment="1">
      <alignment horizontal="right"/>
    </xf>
    <xf numFmtId="169" fontId="13" fillId="8" borderId="44" xfId="0" applyNumberFormat="1" applyFont="1" applyFill="1" applyBorder="1" applyAlignment="1">
      <alignment horizontal="right"/>
    </xf>
    <xf numFmtId="0" fontId="11" fillId="8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12" fillId="9" borderId="30" xfId="0" applyFont="1" applyFill="1" applyBorder="1" applyAlignment="1">
      <alignment horizontal="center"/>
    </xf>
    <xf numFmtId="0" fontId="12" fillId="9" borderId="31" xfId="0" applyFont="1" applyFill="1" applyBorder="1" applyAlignment="1">
      <alignment horizontal="center"/>
    </xf>
    <xf numFmtId="0" fontId="12" fillId="9" borderId="32" xfId="0" applyFont="1" applyFill="1" applyBorder="1" applyAlignment="1">
      <alignment horizontal="center"/>
    </xf>
    <xf numFmtId="164" fontId="13" fillId="8" borderId="42" xfId="0" applyNumberFormat="1" applyFont="1" applyFill="1" applyBorder="1" applyAlignment="1">
      <alignment horizontal="right"/>
    </xf>
    <xf numFmtId="164" fontId="13" fillId="8" borderId="43" xfId="0" applyNumberFormat="1" applyFont="1" applyFill="1" applyBorder="1" applyAlignment="1">
      <alignment horizontal="right"/>
    </xf>
    <xf numFmtId="0" fontId="13" fillId="8" borderId="44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164" fontId="13" fillId="8" borderId="34" xfId="0" applyNumberFormat="1" applyFont="1" applyFill="1" applyBorder="1" applyAlignment="1">
      <alignment horizontal="right"/>
    </xf>
    <xf numFmtId="49" fontId="13" fillId="8" borderId="35" xfId="0" applyNumberFormat="1" applyFont="1" applyFill="1" applyBorder="1" applyAlignment="1">
      <alignment horizontal="left"/>
    </xf>
    <xf numFmtId="0" fontId="12" fillId="9" borderId="45" xfId="0" applyFont="1" applyFill="1" applyBorder="1" applyAlignment="1">
      <alignment horizontal="left"/>
    </xf>
    <xf numFmtId="0" fontId="12" fillId="9" borderId="46" xfId="0" applyFont="1" applyFill="1" applyBorder="1" applyAlignment="1">
      <alignment horizontal="center"/>
    </xf>
    <xf numFmtId="0" fontId="12" fillId="9" borderId="47" xfId="0" applyFont="1" applyFill="1" applyBorder="1" applyAlignment="1">
      <alignment horizontal="center"/>
    </xf>
    <xf numFmtId="170" fontId="13" fillId="8" borderId="40" xfId="0" applyNumberFormat="1" applyFont="1" applyFill="1" applyBorder="1" applyAlignment="1">
      <alignment horizontal="right"/>
    </xf>
    <xf numFmtId="170" fontId="13" fillId="8" borderId="41" xfId="0" applyNumberFormat="1" applyFont="1" applyFill="1" applyBorder="1" applyAlignment="1">
      <alignment horizontal="right"/>
    </xf>
    <xf numFmtId="170" fontId="13" fillId="12" borderId="34" xfId="0" applyNumberFormat="1" applyFont="1" applyFill="1" applyBorder="1" applyAlignment="1">
      <alignment horizontal="right"/>
    </xf>
    <xf numFmtId="170" fontId="13" fillId="12" borderId="35" xfId="0" applyNumberFormat="1" applyFont="1" applyFill="1" applyBorder="1" applyAlignment="1">
      <alignment horizontal="right"/>
    </xf>
    <xf numFmtId="170" fontId="13" fillId="8" borderId="34" xfId="0" applyNumberFormat="1" applyFont="1" applyFill="1" applyBorder="1" applyAlignment="1">
      <alignment horizontal="right"/>
    </xf>
    <xf numFmtId="170" fontId="13" fillId="8" borderId="35" xfId="0" applyNumberFormat="1" applyFont="1" applyFill="1" applyBorder="1" applyAlignment="1">
      <alignment horizontal="right"/>
    </xf>
    <xf numFmtId="0" fontId="14" fillId="15" borderId="42" xfId="0" applyFont="1" applyFill="1" applyBorder="1" applyAlignment="1">
      <alignment horizontal="left"/>
    </xf>
    <xf numFmtId="170" fontId="14" fillId="15" borderId="43" xfId="0" applyNumberFormat="1" applyFont="1" applyFill="1" applyBorder="1" applyAlignment="1">
      <alignment horizontal="right"/>
    </xf>
    <xf numFmtId="170" fontId="14" fillId="15" borderId="44" xfId="0" applyNumberFormat="1" applyFont="1" applyFill="1" applyBorder="1" applyAlignment="1">
      <alignment horizontal="right"/>
    </xf>
    <xf numFmtId="0" fontId="12" fillId="9" borderId="48" xfId="0" applyFont="1" applyFill="1" applyBorder="1" applyAlignment="1">
      <alignment horizontal="center"/>
    </xf>
    <xf numFmtId="0" fontId="12" fillId="9" borderId="49" xfId="0" applyFont="1" applyFill="1" applyBorder="1" applyAlignment="1">
      <alignment horizontal="center"/>
    </xf>
    <xf numFmtId="0" fontId="12" fillId="9" borderId="50" xfId="0" applyFont="1" applyFill="1" applyBorder="1" applyAlignment="1">
      <alignment horizontal="center"/>
    </xf>
    <xf numFmtId="164" fontId="13" fillId="8" borderId="45" xfId="0" applyNumberFormat="1" applyFont="1" applyFill="1" applyBorder="1" applyAlignment="1">
      <alignment horizontal="right"/>
    </xf>
    <xf numFmtId="164" fontId="13" fillId="12" borderId="46" xfId="0" applyNumberFormat="1" applyFont="1" applyFill="1" applyBorder="1" applyAlignment="1">
      <alignment horizontal="right"/>
    </xf>
    <xf numFmtId="164" fontId="14" fillId="15" borderId="46" xfId="0" applyNumberFormat="1" applyFont="1" applyFill="1" applyBorder="1" applyAlignment="1">
      <alignment horizontal="right"/>
    </xf>
    <xf numFmtId="9" fontId="14" fillId="15" borderId="47" xfId="0" applyNumberFormat="1" applyFont="1" applyFill="1" applyBorder="1" applyAlignment="1">
      <alignment horizontal="right"/>
    </xf>
    <xf numFmtId="164" fontId="13" fillId="8" borderId="40" xfId="0" applyNumberFormat="1" applyFont="1" applyFill="1" applyBorder="1" applyAlignment="1">
      <alignment horizontal="right"/>
    </xf>
    <xf numFmtId="164" fontId="13" fillId="12" borderId="41" xfId="0" applyNumberFormat="1" applyFont="1" applyFill="1" applyBorder="1" applyAlignment="1">
      <alignment horizontal="right"/>
    </xf>
    <xf numFmtId="164" fontId="13" fillId="12" borderId="35" xfId="0" applyNumberFormat="1" applyFont="1" applyFill="1" applyBorder="1" applyAlignment="1">
      <alignment horizontal="right"/>
    </xf>
    <xf numFmtId="164" fontId="14" fillId="15" borderId="43" xfId="0" applyNumberFormat="1" applyFont="1" applyFill="1" applyBorder="1" applyAlignment="1">
      <alignment horizontal="right"/>
    </xf>
    <xf numFmtId="164" fontId="14" fillId="15" borderId="44" xfId="0" applyNumberFormat="1" applyFont="1" applyFill="1" applyBorder="1" applyAlignment="1">
      <alignment horizontal="right"/>
    </xf>
    <xf numFmtId="0" fontId="12" fillId="9" borderId="30" xfId="0" applyFont="1" applyFill="1" applyBorder="1" applyAlignment="1">
      <alignment horizontal="left"/>
    </xf>
    <xf numFmtId="0" fontId="12" fillId="9" borderId="32" xfId="0" applyFont="1" applyFill="1" applyBorder="1" applyAlignment="1">
      <alignment horizontal="right"/>
    </xf>
    <xf numFmtId="164" fontId="13" fillId="8" borderId="35" xfId="0" applyNumberFormat="1" applyFont="1" applyFill="1" applyBorder="1" applyAlignment="1">
      <alignment horizontal="right"/>
    </xf>
    <xf numFmtId="0" fontId="14" fillId="15" borderId="33" xfId="0" applyFont="1" applyFill="1" applyBorder="1" applyAlignment="1">
      <alignment horizontal="left"/>
    </xf>
    <xf numFmtId="164" fontId="14" fillId="15" borderId="35" xfId="0" applyNumberFormat="1" applyFont="1" applyFill="1" applyBorder="1" applyAlignment="1">
      <alignment horizontal="right"/>
    </xf>
    <xf numFmtId="0" fontId="12" fillId="9" borderId="48" xfId="0" applyFont="1" applyFill="1" applyBorder="1" applyAlignment="1">
      <alignment horizontal="left"/>
    </xf>
    <xf numFmtId="0" fontId="12" fillId="9" borderId="50" xfId="0" applyFont="1" applyFill="1" applyBorder="1" applyAlignment="1">
      <alignment horizontal="right"/>
    </xf>
    <xf numFmtId="0" fontId="13" fillId="8" borderId="51" xfId="0" applyFont="1" applyFill="1" applyBorder="1" applyAlignment="1">
      <alignment horizontal="left"/>
    </xf>
    <xf numFmtId="164" fontId="13" fillId="8" borderId="38" xfId="0" applyNumberFormat="1" applyFont="1" applyFill="1" applyBorder="1" applyAlignment="1">
      <alignment horizontal="right"/>
    </xf>
    <xf numFmtId="0" fontId="13" fillId="12" borderId="51" xfId="0" applyFont="1" applyFill="1" applyBorder="1" applyAlignment="1">
      <alignment horizontal="left"/>
    </xf>
    <xf numFmtId="164" fontId="13" fillId="12" borderId="38" xfId="0" applyNumberFormat="1" applyFont="1" applyFill="1" applyBorder="1" applyAlignment="1">
      <alignment horizontal="right"/>
    </xf>
    <xf numFmtId="0" fontId="14" fillId="15" borderId="51" xfId="0" applyFont="1" applyFill="1" applyBorder="1" applyAlignment="1">
      <alignment horizontal="left"/>
    </xf>
    <xf numFmtId="164" fontId="14" fillId="15" borderId="38" xfId="0" applyNumberFormat="1" applyFont="1" applyFill="1" applyBorder="1" applyAlignment="1">
      <alignment horizontal="right"/>
    </xf>
    <xf numFmtId="0" fontId="14" fillId="15" borderId="52" xfId="0" applyFont="1" applyFill="1" applyBorder="1" applyAlignment="1">
      <alignment horizontal="left"/>
    </xf>
    <xf numFmtId="0" fontId="10" fillId="0" borderId="53" xfId="0" applyFont="1" applyBorder="1"/>
    <xf numFmtId="0" fontId="12" fillId="9" borderId="39" xfId="0" applyFont="1" applyFill="1" applyBorder="1" applyAlignment="1">
      <alignment horizontal="left"/>
    </xf>
    <xf numFmtId="0" fontId="12" fillId="9" borderId="41" xfId="0" applyFont="1" applyFill="1" applyBorder="1" applyAlignment="1">
      <alignment horizontal="right"/>
    </xf>
    <xf numFmtId="171" fontId="13" fillId="12" borderId="35" xfId="0" applyNumberFormat="1" applyFont="1" applyFill="1" applyBorder="1" applyAlignment="1">
      <alignment horizontal="right"/>
    </xf>
    <xf numFmtId="171" fontId="13" fillId="8" borderId="35" xfId="0" applyNumberFormat="1" applyFont="1" applyFill="1" applyBorder="1" applyAlignment="1">
      <alignment horizontal="right"/>
    </xf>
    <xf numFmtId="0" fontId="12" fillId="9" borderId="47" xfId="0" applyFont="1" applyFill="1" applyBorder="1" applyAlignment="1">
      <alignment horizontal="right" vertical="center"/>
    </xf>
    <xf numFmtId="0" fontId="13" fillId="8" borderId="39" xfId="0" applyFont="1" applyFill="1" applyBorder="1" applyAlignment="1">
      <alignment horizontal="left" vertical="center" wrapText="1"/>
    </xf>
    <xf numFmtId="164" fontId="13" fillId="8" borderId="41" xfId="0" applyNumberFormat="1" applyFont="1" applyFill="1" applyBorder="1" applyAlignment="1">
      <alignment horizontal="right"/>
    </xf>
    <xf numFmtId="0" fontId="13" fillId="12" borderId="33" xfId="0" applyFont="1" applyFill="1" applyBorder="1" applyAlignment="1">
      <alignment horizontal="left" vertical="center" wrapText="1"/>
    </xf>
    <xf numFmtId="0" fontId="13" fillId="8" borderId="33" xfId="0" applyFont="1" applyFill="1" applyBorder="1" applyAlignment="1">
      <alignment horizontal="left" vertical="center" wrapText="1"/>
    </xf>
    <xf numFmtId="0" fontId="14" fillId="15" borderId="33" xfId="0" applyFont="1" applyFill="1" applyBorder="1" applyAlignment="1">
      <alignment horizontal="left" vertical="center" wrapText="1"/>
    </xf>
    <xf numFmtId="165" fontId="14" fillId="15" borderId="35" xfId="0" applyNumberFormat="1" applyFont="1" applyFill="1" applyBorder="1" applyAlignment="1">
      <alignment horizontal="right"/>
    </xf>
    <xf numFmtId="0" fontId="14" fillId="15" borderId="42" xfId="0" applyFont="1" applyFill="1" applyBorder="1" applyAlignment="1">
      <alignment horizontal="left" vertical="center" wrapText="1"/>
    </xf>
    <xf numFmtId="10" fontId="14" fillId="15" borderId="44" xfId="0" applyNumberFormat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0" fontId="13" fillId="8" borderId="33" xfId="0" applyFont="1" applyFill="1" applyBorder="1" applyAlignment="1">
      <alignment horizontal="left" wrapText="1"/>
    </xf>
    <xf numFmtId="0" fontId="13" fillId="12" borderId="33" xfId="0" applyFont="1" applyFill="1" applyBorder="1" applyAlignment="1">
      <alignment horizontal="left" wrapText="1"/>
    </xf>
    <xf numFmtId="0" fontId="14" fillId="15" borderId="33" xfId="0" applyFont="1" applyFill="1" applyBorder="1" applyAlignment="1">
      <alignment horizontal="left" wrapText="1"/>
    </xf>
    <xf numFmtId="0" fontId="14" fillId="15" borderId="42" xfId="0" applyFont="1" applyFill="1" applyBorder="1" applyAlignment="1">
      <alignment horizontal="left" wrapText="1"/>
    </xf>
    <xf numFmtId="0" fontId="12" fillId="9" borderId="54" xfId="0" applyFont="1" applyFill="1" applyBorder="1" applyAlignment="1">
      <alignment horizontal="left"/>
    </xf>
    <xf numFmtId="0" fontId="13" fillId="8" borderId="55" xfId="0" applyFont="1" applyFill="1" applyBorder="1" applyAlignment="1">
      <alignment horizontal="left"/>
    </xf>
    <xf numFmtId="0" fontId="13" fillId="12" borderId="56" xfId="0" applyFont="1" applyFill="1" applyBorder="1" applyAlignment="1">
      <alignment horizontal="left"/>
    </xf>
    <xf numFmtId="0" fontId="13" fillId="12" borderId="55" xfId="0" applyFont="1" applyFill="1" applyBorder="1" applyAlignment="1">
      <alignment horizontal="left"/>
    </xf>
    <xf numFmtId="0" fontId="14" fillId="15" borderId="55" xfId="0" applyFont="1" applyFill="1" applyBorder="1" applyAlignment="1">
      <alignment horizontal="left"/>
    </xf>
    <xf numFmtId="0" fontId="10" fillId="0" borderId="57" xfId="0" applyFont="1" applyBorder="1"/>
    <xf numFmtId="0" fontId="10" fillId="0" borderId="58" xfId="0" applyFont="1" applyBorder="1"/>
    <xf numFmtId="0" fontId="8" fillId="9" borderId="33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left"/>
    </xf>
    <xf numFmtId="0" fontId="8" fillId="9" borderId="35" xfId="0" applyFont="1" applyFill="1" applyBorder="1" applyAlignment="1">
      <alignment horizontal="right"/>
    </xf>
    <xf numFmtId="0" fontId="18" fillId="0" borderId="33" xfId="0" applyFont="1" applyBorder="1" applyAlignment="1">
      <alignment horizontal="center"/>
    </xf>
    <xf numFmtId="0" fontId="10" fillId="0" borderId="34" xfId="0" applyFont="1" applyBorder="1"/>
    <xf numFmtId="164" fontId="10" fillId="0" borderId="35" xfId="0" applyNumberFormat="1" applyFont="1" applyBorder="1" applyAlignment="1">
      <alignment horizontal="right"/>
    </xf>
    <xf numFmtId="0" fontId="18" fillId="12" borderId="33" xfId="0" applyFont="1" applyFill="1" applyBorder="1" applyAlignment="1">
      <alignment horizontal="center"/>
    </xf>
    <xf numFmtId="0" fontId="10" fillId="12" borderId="34" xfId="0" applyFont="1" applyFill="1" applyBorder="1"/>
    <xf numFmtId="164" fontId="10" fillId="12" borderId="35" xfId="0" applyNumberFormat="1" applyFont="1" applyFill="1" applyBorder="1" applyAlignment="1">
      <alignment horizontal="right"/>
    </xf>
    <xf numFmtId="0" fontId="24" fillId="15" borderId="42" xfId="0" applyFont="1" applyFill="1" applyBorder="1" applyAlignment="1">
      <alignment horizontal="left"/>
    </xf>
    <xf numFmtId="0" fontId="10" fillId="0" borderId="59" xfId="0" applyFont="1" applyBorder="1"/>
    <xf numFmtId="164" fontId="24" fillId="15" borderId="44" xfId="0" applyNumberFormat="1" applyFont="1" applyFill="1" applyBorder="1" applyAlignment="1">
      <alignment horizontal="right"/>
    </xf>
    <xf numFmtId="0" fontId="8" fillId="9" borderId="30" xfId="0" applyFont="1" applyFill="1" applyBorder="1" applyAlignment="1">
      <alignment horizontal="left"/>
    </xf>
    <xf numFmtId="0" fontId="8" fillId="9" borderId="45" xfId="0" applyFont="1" applyFill="1" applyBorder="1" applyAlignment="1">
      <alignment horizontal="left"/>
    </xf>
    <xf numFmtId="0" fontId="10" fillId="0" borderId="60" xfId="0" applyFont="1" applyBorder="1"/>
    <xf numFmtId="164" fontId="8" fillId="9" borderId="47" xfId="0" applyNumberFormat="1" applyFont="1" applyFill="1" applyBorder="1" applyAlignment="1">
      <alignment horizontal="right"/>
    </xf>
    <xf numFmtId="0" fontId="7" fillId="0" borderId="0" xfId="0" applyFont="1" applyAlignment="1">
      <alignment horizontal="left" wrapText="1"/>
    </xf>
    <xf numFmtId="0" fontId="25" fillId="9" borderId="30" xfId="0" applyFont="1" applyFill="1" applyBorder="1" applyAlignment="1">
      <alignment horizontal="left" wrapText="1"/>
    </xf>
    <xf numFmtId="0" fontId="25" fillId="9" borderId="31" xfId="0" applyFont="1" applyFill="1" applyBorder="1" applyAlignment="1">
      <alignment horizontal="center" vertical="center" wrapText="1"/>
    </xf>
    <xf numFmtId="0" fontId="25" fillId="9" borderId="32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wrapText="1"/>
    </xf>
    <xf numFmtId="164" fontId="26" fillId="0" borderId="34" xfId="0" applyNumberFormat="1" applyFont="1" applyBorder="1" applyAlignment="1">
      <alignment horizontal="right"/>
    </xf>
    <xf numFmtId="164" fontId="26" fillId="0" borderId="35" xfId="0" applyNumberFormat="1" applyFont="1" applyBorder="1" applyAlignment="1">
      <alignment horizontal="right"/>
    </xf>
    <xf numFmtId="0" fontId="26" fillId="12" borderId="33" xfId="0" applyFont="1" applyFill="1" applyBorder="1" applyAlignment="1">
      <alignment wrapText="1"/>
    </xf>
    <xf numFmtId="0" fontId="26" fillId="12" borderId="34" xfId="0" applyFont="1" applyFill="1" applyBorder="1" applyAlignment="1">
      <alignment horizontal="center" wrapText="1"/>
    </xf>
    <xf numFmtId="164" fontId="26" fillId="12" borderId="35" xfId="0" applyNumberFormat="1" applyFont="1" applyFill="1" applyBorder="1" applyAlignment="1">
      <alignment horizontal="right"/>
    </xf>
    <xf numFmtId="0" fontId="26" fillId="0" borderId="34" xfId="0" applyFont="1" applyBorder="1" applyAlignment="1">
      <alignment horizontal="center" wrapText="1"/>
    </xf>
    <xf numFmtId="0" fontId="27" fillId="15" borderId="33" xfId="0" applyFont="1" applyFill="1" applyBorder="1" applyAlignment="1">
      <alignment horizontal="left" wrapText="1"/>
    </xf>
    <xf numFmtId="0" fontId="27" fillId="15" borderId="34" xfId="0" applyFont="1" applyFill="1" applyBorder="1" applyAlignment="1">
      <alignment horizontal="center" wrapText="1"/>
    </xf>
    <xf numFmtId="164" fontId="27" fillId="15" borderId="35" xfId="0" applyNumberFormat="1" applyFont="1" applyFill="1" applyBorder="1" applyAlignment="1">
      <alignment horizontal="right"/>
    </xf>
    <xf numFmtId="0" fontId="25" fillId="9" borderId="42" xfId="0" applyFont="1" applyFill="1" applyBorder="1" applyAlignment="1">
      <alignment horizontal="left" wrapText="1"/>
    </xf>
    <xf numFmtId="0" fontId="25" fillId="9" borderId="43" xfId="0" applyFont="1" applyFill="1" applyBorder="1" applyAlignment="1">
      <alignment horizontal="center" wrapText="1"/>
    </xf>
    <xf numFmtId="10" fontId="25" fillId="9" borderId="44" xfId="0" applyNumberFormat="1" applyFont="1" applyFill="1" applyBorder="1" applyAlignment="1">
      <alignment horizontal="right"/>
    </xf>
    <xf numFmtId="0" fontId="28" fillId="9" borderId="48" xfId="0" applyFont="1" applyFill="1" applyBorder="1" applyAlignment="1">
      <alignment horizontal="center" vertical="center"/>
    </xf>
    <xf numFmtId="0" fontId="10" fillId="0" borderId="61" xfId="0" applyFont="1" applyBorder="1"/>
    <xf numFmtId="0" fontId="10" fillId="0" borderId="62" xfId="0" applyFont="1" applyBorder="1"/>
    <xf numFmtId="0" fontId="29" fillId="0" borderId="63" xfId="0" applyFont="1" applyBorder="1" applyAlignment="1">
      <alignment horizontal="left" vertical="center"/>
    </xf>
    <xf numFmtId="0" fontId="10" fillId="0" borderId="63" xfId="0" applyFont="1" applyBorder="1"/>
    <xf numFmtId="0" fontId="8" fillId="9" borderId="39" xfId="0" applyFont="1" applyFill="1" applyBorder="1" applyAlignment="1">
      <alignment horizontal="left" vertical="center" wrapText="1"/>
    </xf>
    <xf numFmtId="0" fontId="8" fillId="9" borderId="40" xfId="0" applyFont="1" applyFill="1" applyBorder="1" applyAlignment="1">
      <alignment horizontal="left" vertical="center" wrapText="1"/>
    </xf>
    <xf numFmtId="0" fontId="8" fillId="9" borderId="41" xfId="0" applyFont="1" applyFill="1" applyBorder="1" applyAlignment="1">
      <alignment horizontal="right" vertical="center" wrapText="1"/>
    </xf>
    <xf numFmtId="0" fontId="10" fillId="0" borderId="33" xfId="0" applyFont="1" applyBorder="1" applyAlignment="1">
      <alignment vertical="center" wrapText="1"/>
    </xf>
    <xf numFmtId="0" fontId="10" fillId="0" borderId="34" xfId="0" applyFont="1" applyBorder="1" applyAlignment="1">
      <alignment vertical="center" wrapText="1"/>
    </xf>
    <xf numFmtId="172" fontId="10" fillId="0" borderId="35" xfId="0" applyNumberFormat="1" applyFont="1" applyBorder="1" applyAlignment="1">
      <alignment horizontal="right"/>
    </xf>
    <xf numFmtId="0" fontId="24" fillId="15" borderId="42" xfId="0" applyFont="1" applyFill="1" applyBorder="1" applyAlignment="1">
      <alignment vertical="center" wrapText="1"/>
    </xf>
    <xf numFmtId="0" fontId="30" fillId="15" borderId="43" xfId="0" applyFont="1" applyFill="1" applyBorder="1" applyAlignment="1">
      <alignment vertical="center" wrapText="1"/>
    </xf>
    <xf numFmtId="172" fontId="24" fillId="15" borderId="44" xfId="0" applyNumberFormat="1" applyFont="1" applyFill="1" applyBorder="1" applyAlignment="1">
      <alignment horizontal="right"/>
    </xf>
    <xf numFmtId="0" fontId="31" fillId="9" borderId="30" xfId="0" applyFont="1" applyFill="1" applyBorder="1" applyAlignment="1">
      <alignment horizontal="center"/>
    </xf>
    <xf numFmtId="0" fontId="10" fillId="0" borderId="31" xfId="0" applyFont="1" applyBorder="1"/>
    <xf numFmtId="0" fontId="10" fillId="0" borderId="32" xfId="0" applyFont="1" applyBorder="1"/>
    <xf numFmtId="0" fontId="32" fillId="0" borderId="33" xfId="0" applyFont="1" applyBorder="1" applyAlignment="1">
      <alignment horizontal="left"/>
    </xf>
    <xf numFmtId="0" fontId="10" fillId="0" borderId="35" xfId="0" applyFont="1" applyBorder="1"/>
    <xf numFmtId="0" fontId="33" fillId="9" borderId="33" xfId="0" applyFont="1" applyFill="1" applyBorder="1" applyAlignment="1">
      <alignment horizontal="left"/>
    </xf>
    <xf numFmtId="0" fontId="33" fillId="9" borderId="34" xfId="0" applyFont="1" applyFill="1" applyBorder="1" applyAlignment="1">
      <alignment horizontal="right"/>
    </xf>
    <xf numFmtId="0" fontId="33" fillId="9" borderId="35" xfId="0" applyFont="1" applyFill="1" applyBorder="1" applyAlignment="1">
      <alignment horizontal="right"/>
    </xf>
    <xf numFmtId="0" fontId="26" fillId="0" borderId="33" xfId="0" applyFont="1" applyBorder="1"/>
    <xf numFmtId="173" fontId="26" fillId="0" borderId="34" xfId="0" applyNumberFormat="1" applyFont="1" applyBorder="1" applyAlignment="1">
      <alignment horizontal="right"/>
    </xf>
    <xf numFmtId="173" fontId="26" fillId="0" borderId="35" xfId="0" applyNumberFormat="1" applyFont="1" applyBorder="1" applyAlignment="1">
      <alignment horizontal="right"/>
    </xf>
    <xf numFmtId="0" fontId="26" fillId="0" borderId="34" xfId="0" applyFont="1" applyBorder="1" applyAlignment="1">
      <alignment horizontal="right"/>
    </xf>
    <xf numFmtId="0" fontId="26" fillId="0" borderId="42" xfId="0" applyFont="1" applyBorder="1"/>
    <xf numFmtId="10" fontId="26" fillId="0" borderId="43" xfId="0" applyNumberFormat="1" applyFont="1" applyBorder="1" applyAlignment="1">
      <alignment horizontal="right"/>
    </xf>
    <xf numFmtId="10" fontId="26" fillId="0" borderId="44" xfId="0" applyNumberFormat="1" applyFont="1" applyBorder="1" applyAlignment="1">
      <alignment horizontal="right"/>
    </xf>
    <xf numFmtId="0" fontId="26" fillId="0" borderId="0" xfId="0" applyFont="1" applyAlignment="1">
      <alignment horizontal="right"/>
    </xf>
    <xf numFmtId="0" fontId="34" fillId="9" borderId="30" xfId="0" applyFont="1" applyFill="1" applyBorder="1" applyAlignment="1">
      <alignment horizontal="center"/>
    </xf>
    <xf numFmtId="0" fontId="35" fillId="9" borderId="33" xfId="0" applyFont="1" applyFill="1" applyBorder="1" applyAlignment="1">
      <alignment horizontal="left"/>
    </xf>
    <xf numFmtId="0" fontId="35" fillId="9" borderId="34" xfId="0" applyFont="1" applyFill="1" applyBorder="1" applyAlignment="1">
      <alignment horizontal="center"/>
    </xf>
    <xf numFmtId="0" fontId="35" fillId="9" borderId="35" xfId="0" applyFont="1" applyFill="1" applyBorder="1" applyAlignment="1">
      <alignment horizontal="center"/>
    </xf>
    <xf numFmtId="0" fontId="36" fillId="0" borderId="33" xfId="0" applyFont="1" applyBorder="1" applyAlignment="1">
      <alignment horizontal="left"/>
    </xf>
    <xf numFmtId="173" fontId="36" fillId="0" borderId="34" xfId="0" applyNumberFormat="1" applyFont="1" applyBorder="1" applyAlignment="1">
      <alignment horizontal="right"/>
    </xf>
    <xf numFmtId="10" fontId="36" fillId="0" borderId="35" xfId="0" applyNumberFormat="1" applyFont="1" applyBorder="1" applyAlignment="1">
      <alignment horizontal="right"/>
    </xf>
    <xf numFmtId="0" fontId="36" fillId="0" borderId="42" xfId="0" applyFont="1" applyBorder="1" applyAlignment="1">
      <alignment horizontal="left"/>
    </xf>
    <xf numFmtId="173" fontId="36" fillId="0" borderId="43" xfId="0" applyNumberFormat="1" applyFont="1" applyBorder="1" applyAlignment="1">
      <alignment horizontal="right"/>
    </xf>
    <xf numFmtId="10" fontId="36" fillId="0" borderId="44" xfId="0" applyNumberFormat="1" applyFont="1" applyBorder="1" applyAlignment="1">
      <alignment horizontal="right"/>
    </xf>
    <xf numFmtId="0" fontId="3" fillId="17" borderId="0" xfId="0" applyFont="1" applyFill="1" applyAlignment="1">
      <alignment horizontal="center"/>
    </xf>
    <xf numFmtId="0" fontId="4" fillId="18" borderId="0" xfId="0" applyFont="1" applyFill="1"/>
    <xf numFmtId="0" fontId="0" fillId="19" borderId="0" xfId="0" applyFill="1" applyAlignment="1">
      <alignment horizontal="left"/>
    </xf>
    <xf numFmtId="0" fontId="39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vertical="center"/>
    </xf>
    <xf numFmtId="0" fontId="3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sqref="A1:F1"/>
    </sheetView>
  </sheetViews>
  <sheetFormatPr defaultRowHeight="14.4" x14ac:dyDescent="0.3"/>
  <cols>
    <col min="1" max="1" width="5" customWidth="1"/>
    <col min="2" max="2" width="18" customWidth="1"/>
    <col min="3" max="3" width="48" customWidth="1"/>
    <col min="4" max="4" width="28" customWidth="1"/>
    <col min="5" max="5" width="20" customWidth="1"/>
    <col min="6" max="6" width="58" customWidth="1"/>
  </cols>
  <sheetData>
    <row r="1" spans="1:6" ht="31.95" customHeight="1" x14ac:dyDescent="0.3">
      <c r="A1" s="278" t="s">
        <v>0</v>
      </c>
      <c r="B1" s="277"/>
      <c r="C1" s="277"/>
      <c r="D1" s="277"/>
      <c r="E1" s="277"/>
      <c r="F1" s="277"/>
    </row>
    <row r="2" spans="1:6" ht="24" customHeight="1" x14ac:dyDescent="0.3">
      <c r="A2" s="276" t="s">
        <v>1</v>
      </c>
      <c r="B2" s="277"/>
      <c r="C2" s="277"/>
      <c r="D2" s="277"/>
      <c r="E2" s="277"/>
      <c r="F2" s="277"/>
    </row>
    <row r="3" spans="1:6" ht="6" customHeight="1" x14ac:dyDescent="0.3"/>
    <row r="4" spans="1:6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8" customHeight="1" x14ac:dyDescent="0.3">
      <c r="A5" s="2" t="s">
        <v>8</v>
      </c>
      <c r="B5" s="3" t="s">
        <v>9</v>
      </c>
      <c r="C5" s="3" t="s">
        <v>10</v>
      </c>
      <c r="D5" s="3" t="s">
        <v>11</v>
      </c>
      <c r="E5" s="4" t="s">
        <v>12</v>
      </c>
      <c r="F5" s="5"/>
    </row>
    <row r="6" spans="1:6" ht="18" customHeight="1" x14ac:dyDescent="0.3">
      <c r="A6" s="6" t="s">
        <v>13</v>
      </c>
      <c r="B6" s="7" t="s">
        <v>14</v>
      </c>
      <c r="C6" s="7" t="s">
        <v>15</v>
      </c>
      <c r="D6" s="7" t="s">
        <v>16</v>
      </c>
      <c r="E6" s="8" t="s">
        <v>17</v>
      </c>
      <c r="F6" s="9" t="s">
        <v>18</v>
      </c>
    </row>
    <row r="7" spans="1:6" ht="18" customHeight="1" x14ac:dyDescent="0.3">
      <c r="A7" s="2" t="s">
        <v>19</v>
      </c>
      <c r="B7" s="3" t="s">
        <v>20</v>
      </c>
      <c r="C7" s="3" t="s">
        <v>21</v>
      </c>
      <c r="D7" s="3" t="s">
        <v>22</v>
      </c>
      <c r="E7" s="4" t="s">
        <v>12</v>
      </c>
      <c r="F7" s="5"/>
    </row>
    <row r="8" spans="1:6" ht="18" customHeight="1" x14ac:dyDescent="0.3">
      <c r="A8" s="6" t="s">
        <v>23</v>
      </c>
      <c r="B8" s="7" t="s">
        <v>24</v>
      </c>
      <c r="C8" s="7" t="s">
        <v>25</v>
      </c>
      <c r="D8" s="7" t="s">
        <v>16</v>
      </c>
      <c r="E8" s="4" t="s">
        <v>12</v>
      </c>
      <c r="F8" s="9"/>
    </row>
    <row r="9" spans="1:6" ht="18" customHeight="1" x14ac:dyDescent="0.3">
      <c r="A9" s="2" t="s">
        <v>26</v>
      </c>
      <c r="B9" s="3" t="s">
        <v>27</v>
      </c>
      <c r="C9" s="3" t="s">
        <v>28</v>
      </c>
      <c r="D9" s="3" t="s">
        <v>29</v>
      </c>
      <c r="E9" s="4" t="s">
        <v>12</v>
      </c>
      <c r="F9" s="5" t="s">
        <v>30</v>
      </c>
    </row>
    <row r="10" spans="1:6" ht="18" customHeight="1" x14ac:dyDescent="0.3">
      <c r="A10" s="6" t="s">
        <v>31</v>
      </c>
      <c r="B10" s="7" t="s">
        <v>32</v>
      </c>
      <c r="C10" s="7" t="s">
        <v>33</v>
      </c>
      <c r="D10" s="7" t="s">
        <v>34</v>
      </c>
      <c r="E10" s="4" t="s">
        <v>12</v>
      </c>
      <c r="F10" s="9"/>
    </row>
    <row r="11" spans="1:6" ht="18" customHeight="1" x14ac:dyDescent="0.3">
      <c r="A11" s="2" t="s">
        <v>35</v>
      </c>
      <c r="B11" s="3" t="s">
        <v>36</v>
      </c>
      <c r="C11" s="3" t="s">
        <v>37</v>
      </c>
      <c r="D11" s="3" t="s">
        <v>34</v>
      </c>
      <c r="E11" s="4" t="s">
        <v>12</v>
      </c>
      <c r="F11" s="5"/>
    </row>
    <row r="12" spans="1:6" ht="18" customHeight="1" x14ac:dyDescent="0.3">
      <c r="A12" s="6" t="s">
        <v>38</v>
      </c>
      <c r="B12" s="7" t="s">
        <v>39</v>
      </c>
      <c r="C12" s="7" t="s">
        <v>40</v>
      </c>
      <c r="D12" s="7" t="s">
        <v>22</v>
      </c>
      <c r="E12" s="4" t="s">
        <v>12</v>
      </c>
      <c r="F12" s="9"/>
    </row>
    <row r="13" spans="1:6" ht="18" customHeight="1" x14ac:dyDescent="0.3">
      <c r="A13" s="2" t="s">
        <v>41</v>
      </c>
      <c r="B13" s="3" t="s">
        <v>42</v>
      </c>
      <c r="C13" s="3" t="s">
        <v>43</v>
      </c>
      <c r="D13" s="3" t="s">
        <v>22</v>
      </c>
      <c r="E13" s="4" t="s">
        <v>12</v>
      </c>
      <c r="F13" s="5"/>
    </row>
    <row r="14" spans="1:6" ht="18" customHeight="1" x14ac:dyDescent="0.3">
      <c r="A14" s="6" t="s">
        <v>44</v>
      </c>
      <c r="B14" s="7" t="s">
        <v>45</v>
      </c>
      <c r="C14" s="7" t="s">
        <v>46</v>
      </c>
      <c r="D14" s="7" t="s">
        <v>22</v>
      </c>
      <c r="E14" s="4" t="s">
        <v>12</v>
      </c>
      <c r="F14" s="9"/>
    </row>
    <row r="15" spans="1:6" ht="18" customHeight="1" x14ac:dyDescent="0.3">
      <c r="A15" s="2" t="s">
        <v>47</v>
      </c>
      <c r="B15" s="3" t="s">
        <v>48</v>
      </c>
      <c r="C15" s="3" t="s">
        <v>49</v>
      </c>
      <c r="D15" s="3" t="s">
        <v>50</v>
      </c>
      <c r="E15" s="4" t="s">
        <v>12</v>
      </c>
      <c r="F15" s="5"/>
    </row>
    <row r="16" spans="1:6" ht="18" customHeight="1" x14ac:dyDescent="0.3">
      <c r="A16" s="6" t="s">
        <v>51</v>
      </c>
      <c r="B16" s="7" t="s">
        <v>52</v>
      </c>
      <c r="C16" s="7" t="s">
        <v>53</v>
      </c>
      <c r="D16" s="7" t="s">
        <v>54</v>
      </c>
      <c r="E16" s="4" t="s">
        <v>12</v>
      </c>
      <c r="F16" s="9"/>
    </row>
    <row r="17" spans="1:6" ht="18" customHeight="1" x14ac:dyDescent="0.3">
      <c r="A17" s="2" t="s">
        <v>55</v>
      </c>
      <c r="B17" s="3" t="s">
        <v>56</v>
      </c>
      <c r="C17" s="3" t="s">
        <v>57</v>
      </c>
      <c r="D17" s="3" t="s">
        <v>54</v>
      </c>
      <c r="E17" s="4" t="s">
        <v>12</v>
      </c>
      <c r="F17" s="5"/>
    </row>
    <row r="18" spans="1:6" ht="18" customHeight="1" x14ac:dyDescent="0.3">
      <c r="A18" s="6" t="s">
        <v>58</v>
      </c>
      <c r="B18" s="7" t="s">
        <v>59</v>
      </c>
      <c r="C18" s="7" t="s">
        <v>60</v>
      </c>
      <c r="D18" s="7" t="s">
        <v>61</v>
      </c>
      <c r="E18" s="4" t="s">
        <v>12</v>
      </c>
      <c r="F18" s="9"/>
    </row>
    <row r="19" spans="1:6" ht="18" customHeight="1" x14ac:dyDescent="0.3">
      <c r="A19" s="2" t="s">
        <v>62</v>
      </c>
      <c r="B19" s="3" t="s">
        <v>63</v>
      </c>
      <c r="C19" s="3" t="s">
        <v>64</v>
      </c>
      <c r="D19" s="3" t="s">
        <v>65</v>
      </c>
      <c r="E19" s="4" t="s">
        <v>12</v>
      </c>
      <c r="F19" s="5"/>
    </row>
    <row r="20" spans="1:6" ht="18" customHeight="1" x14ac:dyDescent="0.3">
      <c r="A20" s="6" t="s">
        <v>66</v>
      </c>
      <c r="B20" s="7" t="s">
        <v>67</v>
      </c>
      <c r="C20" s="7" t="s">
        <v>68</v>
      </c>
      <c r="D20" s="7" t="s">
        <v>69</v>
      </c>
      <c r="E20" s="4" t="s">
        <v>12</v>
      </c>
      <c r="F20" s="9"/>
    </row>
    <row r="21" spans="1:6" ht="18" customHeight="1" x14ac:dyDescent="0.3">
      <c r="A21" s="2" t="s">
        <v>70</v>
      </c>
      <c r="B21" s="3" t="s">
        <v>71</v>
      </c>
      <c r="C21" s="3" t="s">
        <v>72</v>
      </c>
      <c r="D21" s="3" t="s">
        <v>16</v>
      </c>
      <c r="E21" s="4" t="s">
        <v>12</v>
      </c>
      <c r="F21" s="5"/>
    </row>
    <row r="22" spans="1:6" ht="18" customHeight="1" x14ac:dyDescent="0.3">
      <c r="A22" s="6" t="s">
        <v>73</v>
      </c>
      <c r="B22" s="7" t="s">
        <v>74</v>
      </c>
      <c r="C22" s="7" t="s">
        <v>75</v>
      </c>
      <c r="D22" s="7" t="s">
        <v>76</v>
      </c>
      <c r="E22" s="4" t="s">
        <v>12</v>
      </c>
      <c r="F22" s="9" t="s">
        <v>77</v>
      </c>
    </row>
    <row r="23" spans="1:6" ht="18" customHeight="1" x14ac:dyDescent="0.3">
      <c r="A23" s="2" t="s">
        <v>78</v>
      </c>
      <c r="B23" s="3" t="s">
        <v>79</v>
      </c>
      <c r="C23" s="3" t="s">
        <v>80</v>
      </c>
      <c r="D23" s="3" t="s">
        <v>16</v>
      </c>
      <c r="E23" s="4" t="s">
        <v>12</v>
      </c>
      <c r="F23" s="5"/>
    </row>
    <row r="24" spans="1:6" ht="18" customHeight="1" x14ac:dyDescent="0.3">
      <c r="A24" s="6" t="s">
        <v>81</v>
      </c>
      <c r="B24" s="7" t="s">
        <v>82</v>
      </c>
      <c r="C24" s="7" t="s">
        <v>83</v>
      </c>
      <c r="D24" s="7" t="s">
        <v>76</v>
      </c>
      <c r="E24" s="4" t="s">
        <v>12</v>
      </c>
      <c r="F24" s="9" t="s">
        <v>84</v>
      </c>
    </row>
    <row r="25" spans="1:6" ht="18" customHeight="1" x14ac:dyDescent="0.3">
      <c r="A25" s="2" t="s">
        <v>85</v>
      </c>
      <c r="B25" s="3" t="s">
        <v>86</v>
      </c>
      <c r="C25" s="3" t="s">
        <v>87</v>
      </c>
      <c r="D25" s="3" t="s">
        <v>16</v>
      </c>
      <c r="E25" s="4" t="s">
        <v>12</v>
      </c>
      <c r="F25" s="5"/>
    </row>
    <row r="26" spans="1:6" ht="18" customHeight="1" x14ac:dyDescent="0.3">
      <c r="A26" s="6" t="s">
        <v>88</v>
      </c>
      <c r="B26" s="7" t="s">
        <v>89</v>
      </c>
      <c r="C26" s="7" t="s">
        <v>90</v>
      </c>
      <c r="D26" s="7" t="s">
        <v>16</v>
      </c>
      <c r="E26" s="4" t="s">
        <v>12</v>
      </c>
      <c r="F26" s="9"/>
    </row>
    <row r="27" spans="1:6" ht="18" customHeight="1" x14ac:dyDescent="0.3">
      <c r="A27" s="2" t="s">
        <v>91</v>
      </c>
      <c r="B27" s="3" t="s">
        <v>92</v>
      </c>
      <c r="C27" s="3" t="s">
        <v>93</v>
      </c>
      <c r="D27" s="3" t="s">
        <v>94</v>
      </c>
      <c r="E27" s="4" t="s">
        <v>12</v>
      </c>
      <c r="F27" s="5"/>
    </row>
    <row r="28" spans="1:6" ht="18" customHeight="1" x14ac:dyDescent="0.3">
      <c r="A28" s="6" t="s">
        <v>95</v>
      </c>
      <c r="B28" s="7" t="s">
        <v>96</v>
      </c>
      <c r="C28" s="7" t="s">
        <v>97</v>
      </c>
      <c r="D28" s="7" t="s">
        <v>76</v>
      </c>
      <c r="E28" s="4" t="s">
        <v>12</v>
      </c>
      <c r="F28" s="9" t="s">
        <v>98</v>
      </c>
    </row>
    <row r="29" spans="1:6" ht="18" customHeight="1" x14ac:dyDescent="0.3">
      <c r="A29" s="2" t="s">
        <v>99</v>
      </c>
      <c r="B29" s="3" t="s">
        <v>100</v>
      </c>
      <c r="C29" s="3" t="s">
        <v>101</v>
      </c>
      <c r="D29" s="3" t="s">
        <v>94</v>
      </c>
      <c r="E29" s="4" t="s">
        <v>12</v>
      </c>
      <c r="F29" s="5"/>
    </row>
    <row r="30" spans="1:6" ht="18" customHeight="1" x14ac:dyDescent="0.3">
      <c r="A30" s="6" t="s">
        <v>102</v>
      </c>
      <c r="B30" s="7" t="s">
        <v>103</v>
      </c>
      <c r="C30" s="7" t="s">
        <v>104</v>
      </c>
      <c r="D30" s="7" t="s">
        <v>76</v>
      </c>
      <c r="E30" s="4" t="s">
        <v>12</v>
      </c>
      <c r="F30" s="9" t="s">
        <v>105</v>
      </c>
    </row>
    <row r="31" spans="1:6" ht="18" customHeight="1" x14ac:dyDescent="0.3">
      <c r="A31" s="2" t="s">
        <v>106</v>
      </c>
      <c r="B31" s="3" t="s">
        <v>107</v>
      </c>
      <c r="C31" s="3" t="s">
        <v>108</v>
      </c>
      <c r="D31" s="3" t="s">
        <v>76</v>
      </c>
      <c r="E31" s="10" t="s">
        <v>109</v>
      </c>
      <c r="F31" s="5" t="s">
        <v>110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topLeftCell="A11" workbookViewId="0"/>
  </sheetViews>
  <sheetFormatPr defaultRowHeight="14.4" x14ac:dyDescent="0.3"/>
  <cols>
    <col min="1" max="1" width="59.21875" customWidth="1"/>
    <col min="2" max="2" width="29.6640625" customWidth="1"/>
    <col min="5" max="5" width="20" customWidth="1"/>
    <col min="6" max="6" width="33.6640625" customWidth="1"/>
  </cols>
  <sheetData>
    <row r="1" spans="1:2" ht="17.399999999999999" customHeight="1" x14ac:dyDescent="0.35">
      <c r="A1" s="11" t="s">
        <v>111</v>
      </c>
    </row>
    <row r="2" spans="1:2" ht="30" customHeight="1" x14ac:dyDescent="0.3">
      <c r="A2" s="12" t="s">
        <v>112</v>
      </c>
    </row>
    <row r="3" spans="1:2" ht="15" customHeight="1" x14ac:dyDescent="0.3"/>
    <row r="4" spans="1:2" ht="19.95" customHeight="1" x14ac:dyDescent="0.3">
      <c r="A4" s="13" t="s">
        <v>113</v>
      </c>
      <c r="B4" s="14" t="s">
        <v>114</v>
      </c>
    </row>
    <row r="5" spans="1:2" ht="19.95" customHeight="1" x14ac:dyDescent="0.3">
      <c r="A5" s="15" t="s">
        <v>115</v>
      </c>
      <c r="B5" s="16">
        <v>26388066.809999999</v>
      </c>
    </row>
    <row r="6" spans="1:2" ht="19.95" customHeight="1" x14ac:dyDescent="0.3">
      <c r="A6" s="17" t="s">
        <v>116</v>
      </c>
      <c r="B6" s="18">
        <v>854710.28</v>
      </c>
    </row>
    <row r="7" spans="1:2" ht="19.95" customHeight="1" x14ac:dyDescent="0.3">
      <c r="A7" s="17" t="s">
        <v>117</v>
      </c>
      <c r="B7" s="18">
        <v>7999236.5599999996</v>
      </c>
    </row>
    <row r="8" spans="1:2" ht="19.95" customHeight="1" x14ac:dyDescent="0.3">
      <c r="A8" s="17" t="s">
        <v>118</v>
      </c>
      <c r="B8" s="18">
        <v>572520.95999999996</v>
      </c>
    </row>
    <row r="9" spans="1:2" ht="19.95" customHeight="1" x14ac:dyDescent="0.3">
      <c r="A9" s="17" t="s">
        <v>119</v>
      </c>
      <c r="B9" s="18">
        <v>8096668.2300000004</v>
      </c>
    </row>
    <row r="10" spans="1:2" ht="19.95" customHeight="1" x14ac:dyDescent="0.3">
      <c r="A10" s="17" t="s">
        <v>120</v>
      </c>
      <c r="B10" s="18">
        <v>383197.59</v>
      </c>
    </row>
    <row r="11" spans="1:2" ht="19.95" customHeight="1" x14ac:dyDescent="0.3">
      <c r="A11" s="17" t="s">
        <v>121</v>
      </c>
      <c r="B11" s="18">
        <v>0</v>
      </c>
    </row>
    <row r="12" spans="1:2" ht="19.95" customHeight="1" x14ac:dyDescent="0.3">
      <c r="A12" s="17" t="s">
        <v>122</v>
      </c>
      <c r="B12" s="18">
        <v>0</v>
      </c>
    </row>
    <row r="13" spans="1:2" ht="19.95" customHeight="1" x14ac:dyDescent="0.3">
      <c r="A13" s="17" t="s">
        <v>123</v>
      </c>
      <c r="B13" s="18">
        <v>0</v>
      </c>
    </row>
    <row r="14" spans="1:2" ht="19.95" customHeight="1" x14ac:dyDescent="0.3">
      <c r="A14" s="17" t="s">
        <v>124</v>
      </c>
      <c r="B14" s="18">
        <v>8481733.1899999995</v>
      </c>
    </row>
    <row r="15" spans="1:2" ht="19.95" customHeight="1" x14ac:dyDescent="0.3">
      <c r="A15" s="19" t="s">
        <v>125</v>
      </c>
      <c r="B15" s="20">
        <v>14773542.77</v>
      </c>
    </row>
    <row r="16" spans="1:2" ht="19.95" customHeight="1" x14ac:dyDescent="0.3">
      <c r="A16" s="17" t="s">
        <v>126</v>
      </c>
      <c r="B16" s="18">
        <v>3469079.76</v>
      </c>
    </row>
    <row r="17" spans="1:2" ht="19.95" customHeight="1" x14ac:dyDescent="0.3">
      <c r="A17" s="17" t="s">
        <v>127</v>
      </c>
      <c r="B17" s="18">
        <v>11304463.01</v>
      </c>
    </row>
    <row r="18" spans="1:2" ht="19.95" customHeight="1" x14ac:dyDescent="0.3">
      <c r="A18" s="17" t="s">
        <v>128</v>
      </c>
      <c r="B18" s="18">
        <v>0</v>
      </c>
    </row>
    <row r="19" spans="1:2" ht="19.95" customHeight="1" x14ac:dyDescent="0.3">
      <c r="A19" s="19" t="s">
        <v>129</v>
      </c>
      <c r="B19" s="20">
        <v>45568820.130000003</v>
      </c>
    </row>
    <row r="20" spans="1:2" ht="19.95" customHeight="1" x14ac:dyDescent="0.3">
      <c r="A20" s="17" t="s">
        <v>130</v>
      </c>
      <c r="B20" s="18">
        <v>7439.49</v>
      </c>
    </row>
    <row r="21" spans="1:2" ht="19.95" customHeight="1" x14ac:dyDescent="0.3">
      <c r="A21" s="17" t="s">
        <v>131</v>
      </c>
      <c r="B21" s="18">
        <v>17606.400000000001</v>
      </c>
    </row>
    <row r="22" spans="1:2" ht="19.95" customHeight="1" x14ac:dyDescent="0.3">
      <c r="A22" s="17" t="s">
        <v>132</v>
      </c>
      <c r="B22" s="18">
        <v>45472569.229999997</v>
      </c>
    </row>
    <row r="23" spans="1:2" ht="19.95" customHeight="1" x14ac:dyDescent="0.3">
      <c r="A23" s="17" t="s">
        <v>133</v>
      </c>
      <c r="B23" s="18">
        <v>71205.009999999995</v>
      </c>
    </row>
    <row r="24" spans="1:2" ht="19.95" customHeight="1" x14ac:dyDescent="0.3">
      <c r="A24" s="19" t="s">
        <v>134</v>
      </c>
      <c r="B24" s="20">
        <v>11248841.029999999</v>
      </c>
    </row>
    <row r="25" spans="1:2" ht="19.95" customHeight="1" x14ac:dyDescent="0.3">
      <c r="A25" s="21" t="s">
        <v>135</v>
      </c>
      <c r="B25" s="22">
        <v>11248841.029999999</v>
      </c>
    </row>
    <row r="26" spans="1:2" ht="19.95" customHeight="1" x14ac:dyDescent="0.3">
      <c r="A26" s="23" t="s">
        <v>136</v>
      </c>
      <c r="B26" s="24">
        <v>86730429.709999993</v>
      </c>
    </row>
    <row r="27" spans="1:2" ht="19.95" customHeight="1" x14ac:dyDescent="0.3"/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selection activeCell="D20" sqref="D20"/>
    </sheetView>
  </sheetViews>
  <sheetFormatPr defaultRowHeight="14.4" x14ac:dyDescent="0.3"/>
  <cols>
    <col min="1" max="1" width="25.5546875" customWidth="1"/>
    <col min="2" max="2" width="30.44140625" customWidth="1"/>
    <col min="3" max="3" width="22.21875" customWidth="1"/>
  </cols>
  <sheetData>
    <row r="1" spans="1:3" ht="17.399999999999999" customHeight="1" x14ac:dyDescent="0.35">
      <c r="A1" s="25" t="s">
        <v>137</v>
      </c>
    </row>
    <row r="2" spans="1:3" ht="30" customHeight="1" x14ac:dyDescent="0.3">
      <c r="A2" s="26" t="s">
        <v>138</v>
      </c>
    </row>
    <row r="3" spans="1:3" ht="15" customHeight="1" x14ac:dyDescent="0.3"/>
    <row r="4" spans="1:3" ht="19.95" customHeight="1" x14ac:dyDescent="0.3">
      <c r="A4" s="27" t="s">
        <v>139</v>
      </c>
      <c r="B4" s="28" t="s">
        <v>140</v>
      </c>
      <c r="C4" s="29" t="s">
        <v>141</v>
      </c>
    </row>
    <row r="5" spans="1:3" ht="19.95" customHeight="1" x14ac:dyDescent="0.3">
      <c r="A5" s="30">
        <v>240903283.16999999</v>
      </c>
      <c r="B5" s="31">
        <v>229432882.36000001</v>
      </c>
      <c r="C5" s="32" t="s">
        <v>142</v>
      </c>
    </row>
    <row r="6" spans="1:3" ht="19.95" customHeight="1" x14ac:dyDescent="0.3"/>
    <row r="7" spans="1:3" ht="19.95" customHeight="1" x14ac:dyDescent="0.3"/>
    <row r="8" spans="1:3" ht="19.95" customHeight="1" x14ac:dyDescent="0.3"/>
    <row r="9" spans="1:3" ht="19.95" customHeight="1" x14ac:dyDescent="0.3"/>
    <row r="10" spans="1:3" ht="19.95" customHeight="1" x14ac:dyDescent="0.3"/>
    <row r="11" spans="1:3" ht="19.95" customHeight="1" x14ac:dyDescent="0.3"/>
    <row r="12" spans="1:3" ht="19.95" customHeight="1" x14ac:dyDescent="0.3"/>
    <row r="13" spans="1:3" ht="19.95" customHeight="1" x14ac:dyDescent="0.3"/>
    <row r="14" spans="1:3" ht="19.95" customHeight="1" x14ac:dyDescent="0.3"/>
    <row r="15" spans="1:3" ht="19.9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topLeftCell="A11" workbookViewId="0">
      <selection activeCell="C31" sqref="C31"/>
    </sheetView>
  </sheetViews>
  <sheetFormatPr defaultRowHeight="14.4" x14ac:dyDescent="0.3"/>
  <cols>
    <col min="1" max="1" width="79.6640625" customWidth="1"/>
    <col min="2" max="2" width="31.77734375" customWidth="1"/>
    <col min="3" max="3" width="22.21875" customWidth="1"/>
  </cols>
  <sheetData>
    <row r="1" spans="1:2" ht="17.399999999999999" customHeight="1" x14ac:dyDescent="0.35">
      <c r="A1" s="33" t="s">
        <v>143</v>
      </c>
    </row>
    <row r="2" spans="1:2" ht="30" customHeight="1" x14ac:dyDescent="0.3">
      <c r="A2" s="26" t="s">
        <v>144</v>
      </c>
    </row>
    <row r="3" spans="1:2" ht="15" customHeight="1" x14ac:dyDescent="0.3"/>
    <row r="4" spans="1:2" ht="19.95" customHeight="1" x14ac:dyDescent="0.3">
      <c r="A4" s="34" t="s">
        <v>113</v>
      </c>
      <c r="B4" s="35" t="s">
        <v>145</v>
      </c>
    </row>
    <row r="5" spans="1:2" ht="19.95" customHeight="1" x14ac:dyDescent="0.3">
      <c r="A5" s="36" t="s">
        <v>146</v>
      </c>
      <c r="B5" s="37">
        <v>23406363.219999999</v>
      </c>
    </row>
    <row r="6" spans="1:2" ht="19.95" customHeight="1" x14ac:dyDescent="0.3">
      <c r="A6" s="36" t="s">
        <v>147</v>
      </c>
      <c r="B6" s="37">
        <v>9656678.9600000009</v>
      </c>
    </row>
    <row r="7" spans="1:2" ht="19.95" customHeight="1" x14ac:dyDescent="0.3">
      <c r="A7" s="36" t="s">
        <v>148</v>
      </c>
      <c r="B7" s="37">
        <v>2040547.96</v>
      </c>
    </row>
    <row r="8" spans="1:2" ht="19.95" customHeight="1" x14ac:dyDescent="0.3">
      <c r="A8" s="36" t="s">
        <v>149</v>
      </c>
      <c r="B8" s="37">
        <v>0</v>
      </c>
    </row>
    <row r="9" spans="1:2" ht="19.95" customHeight="1" x14ac:dyDescent="0.3">
      <c r="A9" s="36" t="s">
        <v>150</v>
      </c>
      <c r="B9" s="37">
        <v>0</v>
      </c>
    </row>
    <row r="10" spans="1:2" ht="19.95" customHeight="1" x14ac:dyDescent="0.3">
      <c r="A10" s="36" t="s">
        <v>151</v>
      </c>
      <c r="B10" s="37">
        <v>0</v>
      </c>
    </row>
    <row r="11" spans="1:2" ht="19.95" customHeight="1" x14ac:dyDescent="0.3">
      <c r="A11" s="36" t="s">
        <v>152</v>
      </c>
      <c r="B11" s="37">
        <v>201826511</v>
      </c>
    </row>
    <row r="12" spans="1:2" ht="19.95" customHeight="1" x14ac:dyDescent="0.3">
      <c r="A12" s="36" t="s">
        <v>153</v>
      </c>
      <c r="B12" s="37">
        <v>643019.37</v>
      </c>
    </row>
    <row r="13" spans="1:2" ht="19.95" customHeight="1" x14ac:dyDescent="0.3">
      <c r="A13" s="38" t="s">
        <v>154</v>
      </c>
      <c r="B13" s="39">
        <v>237573120.50999999</v>
      </c>
    </row>
    <row r="14" spans="1:2" ht="19.95" customHeight="1" x14ac:dyDescent="0.3">
      <c r="A14" s="36" t="s">
        <v>155</v>
      </c>
      <c r="B14" s="37">
        <v>0</v>
      </c>
    </row>
    <row r="15" spans="1:2" ht="19.95" customHeight="1" x14ac:dyDescent="0.3">
      <c r="A15" s="36" t="s">
        <v>156</v>
      </c>
      <c r="B15" s="37">
        <v>0</v>
      </c>
    </row>
    <row r="16" spans="1:2" ht="19.95" customHeight="1" x14ac:dyDescent="0.3">
      <c r="A16" s="36" t="s">
        <v>157</v>
      </c>
      <c r="B16" s="37">
        <v>13643871.199999999</v>
      </c>
    </row>
    <row r="17" spans="1:2" ht="19.95" customHeight="1" x14ac:dyDescent="0.3">
      <c r="A17" s="36" t="s">
        <v>158</v>
      </c>
      <c r="B17" s="37">
        <v>0</v>
      </c>
    </row>
    <row r="18" spans="1:2" ht="19.95" customHeight="1" x14ac:dyDescent="0.3">
      <c r="A18" s="36" t="s">
        <v>159</v>
      </c>
      <c r="B18" s="37">
        <v>0</v>
      </c>
    </row>
    <row r="19" spans="1:2" ht="19.95" customHeight="1" x14ac:dyDescent="0.3">
      <c r="A19" s="36" t="s">
        <v>160</v>
      </c>
      <c r="B19" s="37">
        <v>0</v>
      </c>
    </row>
    <row r="20" spans="1:2" ht="19.95" customHeight="1" x14ac:dyDescent="0.3">
      <c r="A20" s="36" t="s">
        <v>161</v>
      </c>
      <c r="B20" s="37">
        <v>0</v>
      </c>
    </row>
    <row r="21" spans="1:2" ht="19.95" customHeight="1" x14ac:dyDescent="0.3">
      <c r="A21" s="40" t="s">
        <v>162</v>
      </c>
      <c r="B21" s="41">
        <v>223929249.31</v>
      </c>
    </row>
    <row r="22" spans="1:2" ht="19.95" customHeight="1" x14ac:dyDescent="0.3"/>
    <row r="23" spans="1:2" ht="19.95" customHeight="1" x14ac:dyDescent="0.3"/>
    <row r="24" spans="1:2" ht="19.95" customHeight="1" x14ac:dyDescent="0.3"/>
    <row r="25" spans="1:2" ht="19.95" customHeight="1" x14ac:dyDescent="0.3"/>
    <row r="26" spans="1:2" ht="19.95" customHeight="1" x14ac:dyDescent="0.3"/>
    <row r="27" spans="1:2" ht="19.95" customHeight="1" x14ac:dyDescent="0.3"/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workbookViewId="0"/>
  </sheetViews>
  <sheetFormatPr defaultRowHeight="14.4" x14ac:dyDescent="0.3"/>
  <cols>
    <col min="1" max="1" width="79.6640625" customWidth="1"/>
    <col min="2" max="2" width="25.88671875" customWidth="1"/>
    <col min="3" max="3" width="24.109375" customWidth="1"/>
  </cols>
  <sheetData>
    <row r="1" spans="1:2" ht="15.6" customHeight="1" x14ac:dyDescent="0.3">
      <c r="A1" s="42" t="s">
        <v>163</v>
      </c>
    </row>
    <row r="2" spans="1:2" x14ac:dyDescent="0.3">
      <c r="A2" s="43" t="s">
        <v>164</v>
      </c>
    </row>
    <row r="3" spans="1:2" x14ac:dyDescent="0.3">
      <c r="A3" s="44"/>
      <c r="B3" s="44"/>
    </row>
    <row r="4" spans="1:2" x14ac:dyDescent="0.3">
      <c r="A4" s="45" t="s">
        <v>113</v>
      </c>
      <c r="B4" s="46" t="s">
        <v>145</v>
      </c>
    </row>
    <row r="5" spans="1:2" x14ac:dyDescent="0.3">
      <c r="A5" s="47" t="s">
        <v>165</v>
      </c>
      <c r="B5" s="48">
        <v>120554249.79000001</v>
      </c>
    </row>
    <row r="6" spans="1:2" ht="28.8" customHeight="1" x14ac:dyDescent="0.3">
      <c r="A6" s="49" t="s">
        <v>166</v>
      </c>
      <c r="B6" s="48">
        <v>0</v>
      </c>
    </row>
    <row r="7" spans="1:2" ht="28.8" customHeight="1" x14ac:dyDescent="0.3">
      <c r="A7" s="49" t="s">
        <v>167</v>
      </c>
      <c r="B7" s="48">
        <v>0</v>
      </c>
    </row>
    <row r="8" spans="1:2" x14ac:dyDescent="0.3">
      <c r="A8" s="50" t="s">
        <v>168</v>
      </c>
      <c r="B8" s="51">
        <v>120554249.79000001</v>
      </c>
    </row>
    <row r="9" spans="1:2" x14ac:dyDescent="0.3">
      <c r="A9" s="49" t="s">
        <v>169</v>
      </c>
      <c r="B9" s="48">
        <v>0</v>
      </c>
    </row>
    <row r="10" spans="1:2" ht="28.8" customHeight="1" x14ac:dyDescent="0.3">
      <c r="A10" s="49" t="s">
        <v>170</v>
      </c>
      <c r="B10" s="48">
        <v>0</v>
      </c>
    </row>
    <row r="11" spans="1:2" ht="28.8" customHeight="1" x14ac:dyDescent="0.3">
      <c r="A11" s="49" t="s">
        <v>171</v>
      </c>
      <c r="B11" s="48">
        <v>2435293.7200000002</v>
      </c>
    </row>
    <row r="12" spans="1:2" ht="28.8" customHeight="1" x14ac:dyDescent="0.3">
      <c r="A12" s="49" t="s">
        <v>172</v>
      </c>
      <c r="B12" s="48">
        <v>0</v>
      </c>
    </row>
    <row r="13" spans="1:2" ht="28.8" customHeight="1" x14ac:dyDescent="0.3">
      <c r="A13" s="49" t="s">
        <v>173</v>
      </c>
      <c r="B13" s="48">
        <v>0</v>
      </c>
    </row>
    <row r="14" spans="1:2" ht="28.8" customHeight="1" x14ac:dyDescent="0.3">
      <c r="A14" s="49" t="s">
        <v>174</v>
      </c>
      <c r="B14" s="48">
        <v>0</v>
      </c>
    </row>
    <row r="15" spans="1:2" ht="28.8" customHeight="1" x14ac:dyDescent="0.3">
      <c r="A15" s="50" t="s">
        <v>175</v>
      </c>
      <c r="B15" s="52">
        <v>0</v>
      </c>
    </row>
    <row r="16" spans="1:2" x14ac:dyDescent="0.3">
      <c r="A16" s="50" t="s">
        <v>176</v>
      </c>
      <c r="B16" s="53">
        <f>IFERROR(B8-SUM(B9:B14)-B15,0)</f>
        <v>118118956.07000001</v>
      </c>
    </row>
    <row r="17" spans="1:2" ht="28.8" customHeight="1" x14ac:dyDescent="0.3">
      <c r="A17" s="49" t="s">
        <v>177</v>
      </c>
      <c r="B17" s="48">
        <v>223929249.31</v>
      </c>
    </row>
    <row r="18" spans="1:2" x14ac:dyDescent="0.3">
      <c r="A18" s="54" t="s">
        <v>178</v>
      </c>
      <c r="B18" s="55">
        <v>52.75</v>
      </c>
    </row>
    <row r="19" spans="1:2" ht="19.95" customHeight="1" x14ac:dyDescent="0.3"/>
    <row r="20" spans="1:2" ht="19.95" customHeight="1" x14ac:dyDescent="0.3"/>
    <row r="21" spans="1:2" ht="19.95" customHeight="1" x14ac:dyDescent="0.3"/>
    <row r="22" spans="1:2" ht="19.95" customHeight="1" x14ac:dyDescent="0.3"/>
    <row r="23" spans="1:2" ht="19.95" customHeight="1" x14ac:dyDescent="0.3"/>
    <row r="24" spans="1:2" ht="19.95" customHeight="1" x14ac:dyDescent="0.3"/>
    <row r="25" spans="1:2" ht="19.95" customHeight="1" x14ac:dyDescent="0.3"/>
    <row r="26" spans="1:2" ht="19.95" customHeight="1" x14ac:dyDescent="0.3"/>
    <row r="27" spans="1:2" ht="19.95" customHeight="1" x14ac:dyDescent="0.3"/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workbookViewId="0"/>
  </sheetViews>
  <sheetFormatPr defaultRowHeight="14.4" x14ac:dyDescent="0.3"/>
  <cols>
    <col min="1" max="1" width="42.5546875" customWidth="1"/>
    <col min="2" max="2" width="22.21875" customWidth="1"/>
    <col min="3" max="3" width="42.5546875" customWidth="1"/>
    <col min="4" max="4" width="33.77734375" customWidth="1"/>
    <col min="5" max="5" width="24.109375" customWidth="1"/>
  </cols>
  <sheetData>
    <row r="1" spans="1:4" ht="25.95" customHeight="1" x14ac:dyDescent="0.35">
      <c r="A1" s="33" t="s">
        <v>179</v>
      </c>
    </row>
    <row r="2" spans="1:4" ht="42" customHeight="1" x14ac:dyDescent="0.3">
      <c r="A2" s="26" t="s">
        <v>180</v>
      </c>
    </row>
    <row r="3" spans="1:4" ht="15" customHeight="1" x14ac:dyDescent="0.3"/>
    <row r="4" spans="1:4" ht="34.049999999999997" customHeight="1" x14ac:dyDescent="0.3">
      <c r="A4" s="56" t="s">
        <v>181</v>
      </c>
      <c r="B4" s="57"/>
      <c r="C4" s="56" t="s">
        <v>182</v>
      </c>
      <c r="D4" s="57"/>
    </row>
    <row r="5" spans="1:4" ht="22.05" customHeight="1" x14ac:dyDescent="0.3">
      <c r="A5" s="58" t="s">
        <v>183</v>
      </c>
      <c r="B5" s="59">
        <v>93297790.140000001</v>
      </c>
      <c r="C5" s="58" t="s">
        <v>183</v>
      </c>
      <c r="D5" s="59">
        <v>101097508.86</v>
      </c>
    </row>
    <row r="6" spans="1:4" ht="22.05" customHeight="1" x14ac:dyDescent="0.3">
      <c r="A6" s="60" t="s">
        <v>184</v>
      </c>
      <c r="B6" s="61">
        <v>186483770.5</v>
      </c>
      <c r="C6" s="60" t="s">
        <v>185</v>
      </c>
      <c r="D6" s="61">
        <v>223929249.31</v>
      </c>
    </row>
    <row r="7" spans="1:4" ht="30" customHeight="1" x14ac:dyDescent="0.3">
      <c r="A7" s="62" t="s">
        <v>186</v>
      </c>
      <c r="B7" s="63">
        <v>100701236.06999999</v>
      </c>
      <c r="C7" s="62" t="s">
        <v>186</v>
      </c>
      <c r="D7" s="63">
        <v>120921794.63</v>
      </c>
    </row>
    <row r="8" spans="1:4" ht="22.05" customHeight="1" x14ac:dyDescent="0.3">
      <c r="A8" s="64" t="s">
        <v>187</v>
      </c>
      <c r="B8" s="65">
        <v>50.03</v>
      </c>
      <c r="C8" s="64" t="s">
        <v>187</v>
      </c>
      <c r="D8" s="65">
        <v>45.147100000000002</v>
      </c>
    </row>
    <row r="9" spans="1:4" ht="22.05" customHeight="1" x14ac:dyDescent="0.3"/>
    <row r="10" spans="1:4" ht="22.05" customHeight="1" x14ac:dyDescent="0.3"/>
    <row r="11" spans="1:4" ht="22.05" customHeight="1" x14ac:dyDescent="0.3"/>
    <row r="12" spans="1:4" ht="22.05" customHeight="1" x14ac:dyDescent="0.3"/>
    <row r="13" spans="1:4" ht="22.05" customHeight="1" x14ac:dyDescent="0.3"/>
    <row r="14" spans="1:4" ht="22.05" customHeight="1" x14ac:dyDescent="0.3"/>
    <row r="15" spans="1:4" ht="22.05" customHeight="1" x14ac:dyDescent="0.3"/>
    <row r="16" spans="1:4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/>
  </sheetViews>
  <sheetFormatPr defaultRowHeight="14.4" x14ac:dyDescent="0.3"/>
  <cols>
    <col min="1" max="1" width="59.21875" customWidth="1"/>
    <col min="2" max="2" width="28.6640625" customWidth="1"/>
    <col min="3" max="3" width="28.21875" customWidth="1"/>
    <col min="4" max="4" width="40.44140625" customWidth="1"/>
    <col min="5" max="5" width="24.109375" customWidth="1"/>
  </cols>
  <sheetData>
    <row r="1" spans="1:4" ht="25.95" customHeight="1" x14ac:dyDescent="0.35">
      <c r="A1" s="33" t="s">
        <v>188</v>
      </c>
    </row>
    <row r="2" spans="1:4" ht="42" customHeight="1" x14ac:dyDescent="0.3">
      <c r="A2" s="26" t="s">
        <v>189</v>
      </c>
    </row>
    <row r="3" spans="1:4" ht="15" customHeight="1" x14ac:dyDescent="0.3"/>
    <row r="4" spans="1:4" ht="34.049999999999997" customHeight="1" x14ac:dyDescent="0.3">
      <c r="A4" s="66" t="s">
        <v>190</v>
      </c>
      <c r="B4" s="66" t="s">
        <v>191</v>
      </c>
      <c r="C4" s="67" t="s">
        <v>192</v>
      </c>
      <c r="D4" s="68"/>
    </row>
    <row r="5" spans="1:4" ht="22.05" customHeight="1" x14ac:dyDescent="0.3">
      <c r="A5" s="69"/>
      <c r="B5" s="69"/>
      <c r="C5" s="67" t="s">
        <v>193</v>
      </c>
      <c r="D5" s="67" t="s">
        <v>194</v>
      </c>
    </row>
    <row r="6" spans="1:4" x14ac:dyDescent="0.3">
      <c r="A6" s="70" t="s">
        <v>195</v>
      </c>
      <c r="B6" s="71">
        <v>2983523.84</v>
      </c>
      <c r="C6" s="71">
        <v>16496895.58</v>
      </c>
      <c r="D6" s="71">
        <v>15570644.529999999</v>
      </c>
    </row>
    <row r="7" spans="1:4" x14ac:dyDescent="0.3">
      <c r="A7" s="72" t="s">
        <v>196</v>
      </c>
      <c r="B7" s="73">
        <v>0</v>
      </c>
      <c r="C7" s="73">
        <v>0</v>
      </c>
      <c r="D7" s="73">
        <v>0</v>
      </c>
    </row>
    <row r="8" spans="1:4" x14ac:dyDescent="0.3">
      <c r="A8" s="74" t="s">
        <v>197</v>
      </c>
      <c r="B8" s="75">
        <v>2983523.84</v>
      </c>
      <c r="C8" s="75">
        <v>16496895.58</v>
      </c>
      <c r="D8" s="75">
        <v>15570644.529999999</v>
      </c>
    </row>
    <row r="9" spans="1:4" ht="28.8" customHeight="1" x14ac:dyDescent="0.3">
      <c r="A9" s="72" t="s">
        <v>198</v>
      </c>
      <c r="B9" s="73">
        <v>0</v>
      </c>
      <c r="C9" s="73">
        <v>0</v>
      </c>
      <c r="D9" s="73">
        <v>0</v>
      </c>
    </row>
    <row r="10" spans="1:4" x14ac:dyDescent="0.3">
      <c r="A10" s="74" t="s">
        <v>199</v>
      </c>
      <c r="B10" s="75">
        <v>0</v>
      </c>
      <c r="C10" s="75">
        <v>0</v>
      </c>
      <c r="D10" s="75">
        <v>0</v>
      </c>
    </row>
    <row r="11" spans="1:4" x14ac:dyDescent="0.3">
      <c r="A11" s="70" t="s">
        <v>200</v>
      </c>
      <c r="B11" s="71">
        <v>-485408.97</v>
      </c>
      <c r="C11" s="71">
        <v>13593441.15</v>
      </c>
      <c r="D11" s="71">
        <v>2760463.25</v>
      </c>
    </row>
    <row r="12" spans="1:4" x14ac:dyDescent="0.3">
      <c r="A12" s="72" t="s">
        <v>201</v>
      </c>
      <c r="B12" s="76"/>
      <c r="C12" s="76"/>
      <c r="D12" s="76"/>
    </row>
    <row r="13" spans="1:4" x14ac:dyDescent="0.3">
      <c r="A13" s="74" t="s">
        <v>202</v>
      </c>
      <c r="B13" s="75">
        <v>13644981.619999999</v>
      </c>
      <c r="C13" s="75">
        <v>37027948.399999999</v>
      </c>
      <c r="D13" s="75">
        <v>25669370.809999999</v>
      </c>
    </row>
    <row r="14" spans="1:4" x14ac:dyDescent="0.3">
      <c r="A14" s="72" t="s">
        <v>203</v>
      </c>
      <c r="B14" s="73">
        <v>1131079.49</v>
      </c>
      <c r="C14" s="73">
        <v>7665120.9500000002</v>
      </c>
      <c r="D14" s="73">
        <v>4924025.0599999996</v>
      </c>
    </row>
    <row r="15" spans="1:4" x14ac:dyDescent="0.3">
      <c r="A15" s="74" t="s">
        <v>204</v>
      </c>
      <c r="B15" s="75">
        <v>0</v>
      </c>
      <c r="C15" s="75">
        <v>0</v>
      </c>
      <c r="D15" s="75">
        <v>0</v>
      </c>
    </row>
    <row r="16" spans="1:4" x14ac:dyDescent="0.3">
      <c r="A16" s="70" t="s">
        <v>205</v>
      </c>
      <c r="B16" s="71">
        <v>3468932.81</v>
      </c>
      <c r="C16" s="71">
        <v>2903454.43</v>
      </c>
      <c r="D16" s="71">
        <v>12810181.279999999</v>
      </c>
    </row>
    <row r="17" spans="1:4" x14ac:dyDescent="0.3">
      <c r="A17" s="70" t="s">
        <v>206</v>
      </c>
      <c r="B17" s="71">
        <v>168373975.24000001</v>
      </c>
      <c r="C17" s="71">
        <v>203577649.80000001</v>
      </c>
      <c r="D17" s="71">
        <v>223929249.31</v>
      </c>
    </row>
    <row r="18" spans="1:4" ht="28.8" customHeight="1" x14ac:dyDescent="0.3">
      <c r="A18" s="72" t="s">
        <v>207</v>
      </c>
      <c r="B18" s="73">
        <v>0</v>
      </c>
      <c r="C18" s="73">
        <v>2970896</v>
      </c>
      <c r="D18" s="73">
        <v>2970896</v>
      </c>
    </row>
    <row r="19" spans="1:4" ht="28.8" customHeight="1" x14ac:dyDescent="0.3">
      <c r="A19" s="70" t="s">
        <v>208</v>
      </c>
      <c r="B19" s="71">
        <v>168373975.24000001</v>
      </c>
      <c r="C19" s="71">
        <v>200606753.80000001</v>
      </c>
      <c r="D19" s="71">
        <v>220958353.31</v>
      </c>
    </row>
    <row r="20" spans="1:4" x14ac:dyDescent="0.3">
      <c r="A20" s="74" t="s">
        <v>209</v>
      </c>
      <c r="B20" s="77">
        <v>1.77E-2</v>
      </c>
      <c r="C20" s="77">
        <v>8.2199999999999995E-2</v>
      </c>
      <c r="D20" s="77">
        <v>7.0499999999999993E-2</v>
      </c>
    </row>
    <row r="21" spans="1:4" x14ac:dyDescent="0.3">
      <c r="A21" s="72" t="s">
        <v>210</v>
      </c>
      <c r="B21" s="78">
        <v>2.06E-2</v>
      </c>
      <c r="C21" s="78">
        <v>1.4500000000000001E-2</v>
      </c>
      <c r="D21" s="78">
        <v>5.8000000000000003E-2</v>
      </c>
    </row>
    <row r="22" spans="1:4" x14ac:dyDescent="0.3">
      <c r="A22" s="70" t="s">
        <v>211</v>
      </c>
      <c r="B22" s="71">
        <v>202048770.28999999</v>
      </c>
      <c r="C22" s="71">
        <v>240728104.56</v>
      </c>
      <c r="D22" s="71">
        <v>263582655.13</v>
      </c>
    </row>
    <row r="23" spans="1:4" x14ac:dyDescent="0.3">
      <c r="A23" s="70" t="s">
        <v>212</v>
      </c>
      <c r="B23" s="71">
        <v>181843893.25999999</v>
      </c>
      <c r="C23" s="71">
        <v>216655294.09999999</v>
      </c>
      <c r="D23" s="71">
        <v>237224389.62</v>
      </c>
    </row>
    <row r="24" spans="1:4" ht="19.95" customHeight="1" x14ac:dyDescent="0.3"/>
    <row r="25" spans="1:4" ht="19.95" customHeight="1" x14ac:dyDescent="0.3"/>
    <row r="26" spans="1:4" ht="19.95" customHeight="1" x14ac:dyDescent="0.3"/>
    <row r="27" spans="1:4" ht="19.95" customHeight="1" x14ac:dyDescent="0.3"/>
    <row r="28" spans="1:4" ht="19.95" customHeight="1" x14ac:dyDescent="0.3"/>
    <row r="29" spans="1:4" ht="19.95" customHeight="1" x14ac:dyDescent="0.3"/>
    <row r="30" spans="1:4" ht="19.95" customHeight="1" x14ac:dyDescent="0.3"/>
    <row r="31" spans="1:4" ht="19.95" customHeight="1" x14ac:dyDescent="0.3"/>
    <row r="32" spans="1:4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workbookViewId="0"/>
  </sheetViews>
  <sheetFormatPr defaultRowHeight="14.4" x14ac:dyDescent="0.3"/>
  <cols>
    <col min="1" max="1" width="42.5546875" customWidth="1"/>
    <col min="2" max="2" width="25" customWidth="1"/>
    <col min="3" max="3" width="24.5546875" customWidth="1"/>
    <col min="4" max="4" width="24.21875" customWidth="1"/>
    <col min="5" max="5" width="29.77734375" customWidth="1"/>
  </cols>
  <sheetData>
    <row r="1" spans="1:5" ht="25.95" customHeight="1" x14ac:dyDescent="0.35">
      <c r="A1" s="25" t="s">
        <v>213</v>
      </c>
    </row>
    <row r="2" spans="1:5" ht="30" customHeight="1" x14ac:dyDescent="0.3">
      <c r="A2" s="26" t="s">
        <v>214</v>
      </c>
    </row>
    <row r="3" spans="1:5" ht="15" customHeight="1" x14ac:dyDescent="0.3"/>
    <row r="4" spans="1:5" ht="34.049999999999997" customHeight="1" x14ac:dyDescent="0.3">
      <c r="A4" s="79" t="s">
        <v>215</v>
      </c>
      <c r="B4" s="80" t="s">
        <v>216</v>
      </c>
      <c r="C4" s="80" t="s">
        <v>217</v>
      </c>
      <c r="D4" s="80" t="s">
        <v>139</v>
      </c>
      <c r="E4" s="81" t="s">
        <v>218</v>
      </c>
    </row>
    <row r="5" spans="1:5" ht="22.05" customHeight="1" x14ac:dyDescent="0.3">
      <c r="A5" s="82" t="s">
        <v>219</v>
      </c>
      <c r="B5" s="83">
        <v>187529935.25999999</v>
      </c>
      <c r="C5" s="83">
        <v>187529935.25999999</v>
      </c>
      <c r="D5" s="83">
        <v>223929249.31</v>
      </c>
      <c r="E5" s="84">
        <v>36399314.049999997</v>
      </c>
    </row>
    <row r="6" spans="1:5" ht="22.05" customHeight="1" x14ac:dyDescent="0.3">
      <c r="A6" s="85" t="s">
        <v>220</v>
      </c>
      <c r="B6" s="86">
        <v>13900064.74</v>
      </c>
      <c r="C6" s="86">
        <v>13900064.74</v>
      </c>
      <c r="D6" s="86">
        <v>16974033.859999999</v>
      </c>
      <c r="E6" s="87">
        <v>3073969.12</v>
      </c>
    </row>
    <row r="7" spans="1:5" ht="22.05" customHeight="1" x14ac:dyDescent="0.3">
      <c r="A7" s="88" t="s">
        <v>221</v>
      </c>
      <c r="B7" s="89">
        <v>201430000</v>
      </c>
      <c r="C7" s="89">
        <v>201430000</v>
      </c>
      <c r="D7" s="89">
        <v>240903283.16999999</v>
      </c>
      <c r="E7" s="90">
        <v>39473283.170000002</v>
      </c>
    </row>
    <row r="8" spans="1:5" ht="22.05" customHeight="1" x14ac:dyDescent="0.3">
      <c r="A8" s="85" t="s">
        <v>222</v>
      </c>
      <c r="B8" s="86">
        <v>0</v>
      </c>
      <c r="C8" s="86">
        <v>0</v>
      </c>
      <c r="D8" s="86">
        <v>0</v>
      </c>
      <c r="E8" s="87">
        <v>0</v>
      </c>
    </row>
    <row r="9" spans="1:5" ht="22.05" customHeight="1" x14ac:dyDescent="0.3">
      <c r="A9" s="88" t="s">
        <v>223</v>
      </c>
      <c r="B9" s="89">
        <v>201430000</v>
      </c>
      <c r="C9" s="89">
        <v>201430000</v>
      </c>
      <c r="D9" s="89">
        <v>240903283.16999999</v>
      </c>
      <c r="E9" s="90">
        <v>39473283.170000002</v>
      </c>
    </row>
    <row r="10" spans="1:5" ht="22.05" customHeight="1" x14ac:dyDescent="0.3">
      <c r="A10" s="91" t="s">
        <v>224</v>
      </c>
      <c r="B10" s="92">
        <v>0</v>
      </c>
      <c r="C10" s="92">
        <v>0</v>
      </c>
      <c r="D10" s="92">
        <v>0</v>
      </c>
      <c r="E10" s="93">
        <v>0</v>
      </c>
    </row>
    <row r="11" spans="1:5" ht="22.05" customHeight="1" x14ac:dyDescent="0.3">
      <c r="A11" s="94" t="s">
        <v>225</v>
      </c>
      <c r="B11" s="95">
        <v>201430000</v>
      </c>
      <c r="C11" s="95">
        <v>201430000</v>
      </c>
      <c r="D11" s="95">
        <v>240903283.16999999</v>
      </c>
      <c r="E11" s="96">
        <v>39473283.170000002</v>
      </c>
    </row>
    <row r="12" spans="1:5" ht="22.05" customHeight="1" x14ac:dyDescent="0.3">
      <c r="A12" s="97" t="s">
        <v>226</v>
      </c>
      <c r="B12" s="98">
        <v>0</v>
      </c>
      <c r="C12" s="98">
        <v>0</v>
      </c>
      <c r="D12" s="98">
        <v>0</v>
      </c>
      <c r="E12" s="99">
        <v>0</v>
      </c>
    </row>
    <row r="13" spans="1:5" ht="22.05" customHeight="1" x14ac:dyDescent="0.3">
      <c r="A13" s="85" t="s">
        <v>227</v>
      </c>
      <c r="B13" s="86">
        <v>0</v>
      </c>
      <c r="C13" s="86">
        <v>0</v>
      </c>
      <c r="D13" s="86">
        <v>0</v>
      </c>
      <c r="E13" s="87">
        <v>0</v>
      </c>
    </row>
    <row r="14" spans="1:5" ht="22.05" customHeight="1" x14ac:dyDescent="0.3">
      <c r="A14" s="82" t="s">
        <v>228</v>
      </c>
      <c r="B14" s="83">
        <v>0</v>
      </c>
      <c r="C14" s="83">
        <v>0</v>
      </c>
      <c r="D14" s="83">
        <v>0</v>
      </c>
      <c r="E14" s="84">
        <v>0</v>
      </c>
    </row>
    <row r="15" spans="1:5" ht="22.05" customHeight="1" x14ac:dyDescent="0.3">
      <c r="A15" s="100" t="s">
        <v>229</v>
      </c>
      <c r="B15" s="101">
        <v>0</v>
      </c>
      <c r="C15" s="101">
        <v>0</v>
      </c>
      <c r="D15" s="101">
        <v>0</v>
      </c>
      <c r="E15" s="102">
        <v>0</v>
      </c>
    </row>
    <row r="16" spans="1:5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5"/>
  <sheetViews>
    <sheetView workbookViewId="0"/>
  </sheetViews>
  <sheetFormatPr defaultRowHeight="14.4" x14ac:dyDescent="0.3"/>
  <cols>
    <col min="1" max="1" width="46.33203125" customWidth="1"/>
    <col min="2" max="2" width="28.6640625" customWidth="1"/>
    <col min="3" max="3" width="25.88671875" customWidth="1"/>
    <col min="4" max="4" width="30.77734375" customWidth="1"/>
    <col min="5" max="5" width="26.44140625" customWidth="1"/>
    <col min="6" max="6" width="26.88671875" customWidth="1"/>
    <col min="7" max="7" width="23.44140625" customWidth="1"/>
  </cols>
  <sheetData>
    <row r="1" spans="1:7" ht="25.95" customHeight="1" x14ac:dyDescent="0.35">
      <c r="A1" s="25" t="s">
        <v>230</v>
      </c>
    </row>
    <row r="2" spans="1:7" ht="30" customHeight="1" x14ac:dyDescent="0.3">
      <c r="A2" s="26" t="s">
        <v>231</v>
      </c>
    </row>
    <row r="3" spans="1:7" ht="15" customHeight="1" x14ac:dyDescent="0.3"/>
    <row r="4" spans="1:7" ht="34.049999999999997" customHeight="1" x14ac:dyDescent="0.3">
      <c r="A4" s="103" t="s">
        <v>215</v>
      </c>
      <c r="B4" s="104" t="s">
        <v>232</v>
      </c>
      <c r="C4" s="104" t="s">
        <v>233</v>
      </c>
      <c r="D4" s="104" t="s">
        <v>234</v>
      </c>
      <c r="E4" s="104" t="s">
        <v>235</v>
      </c>
      <c r="F4" s="104" t="s">
        <v>236</v>
      </c>
      <c r="G4" s="105" t="s">
        <v>237</v>
      </c>
    </row>
    <row r="5" spans="1:7" ht="22.05" customHeight="1" x14ac:dyDescent="0.3">
      <c r="A5" s="106" t="s">
        <v>238</v>
      </c>
      <c r="B5" s="107">
        <v>174645996.49000001</v>
      </c>
      <c r="C5" s="107">
        <v>206928523.24000001</v>
      </c>
      <c r="D5" s="107">
        <v>202065939.41999999</v>
      </c>
      <c r="E5" s="107">
        <v>201763680.88999999</v>
      </c>
      <c r="F5" s="107">
        <v>199492669.43000001</v>
      </c>
      <c r="G5" s="108">
        <v>4862583.82</v>
      </c>
    </row>
    <row r="6" spans="1:7" ht="22.05" customHeight="1" x14ac:dyDescent="0.3">
      <c r="A6" s="109" t="s">
        <v>239</v>
      </c>
      <c r="B6" s="110">
        <v>26334939.510000002</v>
      </c>
      <c r="C6" s="110">
        <v>28730275.140000001</v>
      </c>
      <c r="D6" s="110">
        <v>27366942.940000001</v>
      </c>
      <c r="E6" s="110">
        <v>27366942.940000001</v>
      </c>
      <c r="F6" s="110">
        <v>26080225.18</v>
      </c>
      <c r="G6" s="111">
        <v>1363332.2</v>
      </c>
    </row>
    <row r="7" spans="1:7" ht="22.05" customHeight="1" x14ac:dyDescent="0.3">
      <c r="A7" s="112" t="s">
        <v>240</v>
      </c>
      <c r="B7" s="113">
        <v>0</v>
      </c>
      <c r="C7" s="113">
        <v>0</v>
      </c>
      <c r="D7" s="113">
        <v>0</v>
      </c>
      <c r="E7" s="113">
        <v>0</v>
      </c>
      <c r="F7" s="113">
        <v>0</v>
      </c>
      <c r="G7" s="114">
        <v>0</v>
      </c>
    </row>
    <row r="8" spans="1:7" ht="22.05" customHeight="1" x14ac:dyDescent="0.3">
      <c r="A8" s="115" t="s">
        <v>241</v>
      </c>
      <c r="B8" s="116">
        <v>201430000</v>
      </c>
      <c r="C8" s="116">
        <v>235658798.38</v>
      </c>
      <c r="D8" s="116">
        <v>229432882.36000001</v>
      </c>
      <c r="E8" s="116">
        <v>229130623.83000001</v>
      </c>
      <c r="F8" s="116">
        <v>225572894.61000001</v>
      </c>
      <c r="G8" s="117">
        <v>6225916.0199999996</v>
      </c>
    </row>
    <row r="9" spans="1:7" ht="22.05" customHeight="1" x14ac:dyDescent="0.3">
      <c r="A9" s="109" t="s">
        <v>242</v>
      </c>
      <c r="B9" s="110">
        <v>0</v>
      </c>
      <c r="C9" s="110">
        <v>0</v>
      </c>
      <c r="D9" s="110">
        <v>0</v>
      </c>
      <c r="E9" s="110">
        <v>0</v>
      </c>
      <c r="F9" s="110">
        <v>0</v>
      </c>
      <c r="G9" s="111">
        <v>0</v>
      </c>
    </row>
    <row r="10" spans="1:7" ht="22.05" customHeight="1" x14ac:dyDescent="0.3">
      <c r="A10" s="115" t="s">
        <v>243</v>
      </c>
      <c r="B10" s="116">
        <v>201430000</v>
      </c>
      <c r="C10" s="116">
        <v>235658798.38</v>
      </c>
      <c r="D10" s="116">
        <v>229432882.36000001</v>
      </c>
      <c r="E10" s="116">
        <v>229130623.83000001</v>
      </c>
      <c r="F10" s="116">
        <v>225572894.61000001</v>
      </c>
      <c r="G10" s="117">
        <v>6225916.0199999996</v>
      </c>
    </row>
    <row r="11" spans="1:7" ht="22.05" customHeight="1" x14ac:dyDescent="0.3">
      <c r="A11" s="112" t="s">
        <v>244</v>
      </c>
      <c r="B11" s="113">
        <v>0</v>
      </c>
      <c r="C11" s="113">
        <v>0</v>
      </c>
      <c r="D11" s="113">
        <v>0</v>
      </c>
      <c r="E11" s="113">
        <v>0</v>
      </c>
      <c r="F11" s="113">
        <v>0</v>
      </c>
      <c r="G11" s="114">
        <v>0</v>
      </c>
    </row>
    <row r="12" spans="1:7" ht="22.05" customHeight="1" x14ac:dyDescent="0.3">
      <c r="A12" s="118" t="s">
        <v>245</v>
      </c>
      <c r="B12" s="119">
        <v>201430000</v>
      </c>
      <c r="C12" s="119">
        <v>235658798.38</v>
      </c>
      <c r="D12" s="119">
        <v>240903283.16999999</v>
      </c>
      <c r="E12" s="119">
        <v>229130623.83000001</v>
      </c>
      <c r="F12" s="119">
        <v>225572894.61000001</v>
      </c>
      <c r="G12" s="120">
        <v>6225916.0199999996</v>
      </c>
    </row>
    <row r="13" spans="1:7" ht="22.05" customHeight="1" x14ac:dyDescent="0.3">
      <c r="A13" s="121" t="s">
        <v>246</v>
      </c>
      <c r="B13" s="122">
        <v>0</v>
      </c>
      <c r="C13" s="122">
        <v>0</v>
      </c>
      <c r="D13" s="122">
        <v>0</v>
      </c>
      <c r="E13" s="122">
        <v>0</v>
      </c>
      <c r="F13" s="122">
        <v>0</v>
      </c>
      <c r="G13" s="123">
        <v>0</v>
      </c>
    </row>
    <row r="14" spans="1:7" ht="22.05" customHeight="1" x14ac:dyDescent="0.3"/>
    <row r="15" spans="1:7" ht="22.05" customHeight="1" x14ac:dyDescent="0.3"/>
    <row r="16" spans="1:7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5"/>
  <sheetViews>
    <sheetView workbookViewId="0"/>
  </sheetViews>
  <sheetFormatPr defaultRowHeight="14.4" x14ac:dyDescent="0.3"/>
  <cols>
    <col min="1" max="1" width="26.21875" customWidth="1"/>
    <col min="2" max="2" width="28.44140625" customWidth="1"/>
    <col min="3" max="3" width="29.44140625" customWidth="1"/>
    <col min="4" max="4" width="25.5546875" customWidth="1"/>
    <col min="5" max="5" width="24.109375" customWidth="1"/>
    <col min="6" max="6" width="22.88671875" customWidth="1"/>
    <col min="7" max="7" width="23.21875" customWidth="1"/>
  </cols>
  <sheetData>
    <row r="1" spans="1:3" ht="25.95" customHeight="1" x14ac:dyDescent="0.35">
      <c r="A1" s="124" t="s">
        <v>247</v>
      </c>
    </row>
    <row r="2" spans="1:3" ht="30" customHeight="1" x14ac:dyDescent="0.3">
      <c r="A2" s="125" t="s">
        <v>248</v>
      </c>
    </row>
    <row r="3" spans="1:3" ht="15" customHeight="1" x14ac:dyDescent="0.3"/>
    <row r="4" spans="1:3" ht="22.05" customHeight="1" x14ac:dyDescent="0.3">
      <c r="A4" s="126" t="s">
        <v>249</v>
      </c>
      <c r="B4" s="127" t="s">
        <v>250</v>
      </c>
      <c r="C4" s="128" t="s">
        <v>141</v>
      </c>
    </row>
    <row r="5" spans="1:3" ht="22.05" customHeight="1" x14ac:dyDescent="0.3">
      <c r="A5" s="129">
        <v>23406363.219999999</v>
      </c>
      <c r="B5" s="130">
        <v>13704718.32</v>
      </c>
      <c r="C5" s="131" t="s">
        <v>251</v>
      </c>
    </row>
    <row r="6" spans="1:3" ht="22.05" customHeight="1" x14ac:dyDescent="0.3"/>
    <row r="7" spans="1:3" ht="22.05" customHeight="1" x14ac:dyDescent="0.3"/>
    <row r="8" spans="1:3" ht="22.05" customHeight="1" x14ac:dyDescent="0.3"/>
    <row r="9" spans="1:3" ht="22.05" customHeight="1" x14ac:dyDescent="0.3"/>
    <row r="10" spans="1:3" ht="22.05" customHeight="1" x14ac:dyDescent="0.3"/>
    <row r="11" spans="1:3" ht="22.05" customHeight="1" x14ac:dyDescent="0.3"/>
    <row r="12" spans="1:3" ht="22.05" customHeight="1" x14ac:dyDescent="0.3"/>
    <row r="13" spans="1:3" ht="22.05" customHeight="1" x14ac:dyDescent="0.3"/>
    <row r="14" spans="1:3" ht="22.05" customHeight="1" x14ac:dyDescent="0.3"/>
    <row r="15" spans="1:3" ht="22.0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5"/>
  <sheetViews>
    <sheetView tabSelected="1" workbookViewId="0">
      <selection activeCell="F10" sqref="F10"/>
    </sheetView>
  </sheetViews>
  <sheetFormatPr defaultRowHeight="14.4" x14ac:dyDescent="0.3"/>
  <cols>
    <col min="1" max="1" width="22.21875" customWidth="1"/>
    <col min="2" max="2" width="24.109375" customWidth="1"/>
    <col min="3" max="3" width="16.88671875" customWidth="1"/>
    <col min="4" max="4" width="21.88671875" customWidth="1"/>
    <col min="5" max="5" width="24.109375" customWidth="1"/>
    <col min="6" max="6" width="22.88671875" customWidth="1"/>
    <col min="7" max="7" width="23.21875" customWidth="1"/>
  </cols>
  <sheetData>
    <row r="1" spans="1:4" ht="25.95" customHeight="1" x14ac:dyDescent="0.35">
      <c r="A1" s="132" t="s">
        <v>252</v>
      </c>
    </row>
    <row r="2" spans="1:4" ht="30" customHeight="1" x14ac:dyDescent="0.3">
      <c r="A2" s="125" t="s">
        <v>253</v>
      </c>
    </row>
    <row r="3" spans="1:4" ht="15" customHeight="1" x14ac:dyDescent="0.3"/>
    <row r="4" spans="1:4" ht="22.05" customHeight="1" x14ac:dyDescent="0.3">
      <c r="A4" s="126" t="s">
        <v>113</v>
      </c>
      <c r="B4" s="127" t="s">
        <v>254</v>
      </c>
      <c r="C4" s="127" t="s">
        <v>255</v>
      </c>
      <c r="D4" s="128" t="s">
        <v>141</v>
      </c>
    </row>
    <row r="5" spans="1:4" ht="22.05" customHeight="1" x14ac:dyDescent="0.3">
      <c r="A5" s="112" t="s">
        <v>256</v>
      </c>
      <c r="B5" s="133">
        <v>201430000</v>
      </c>
      <c r="C5" s="133">
        <v>201430000</v>
      </c>
      <c r="D5" s="134" t="s">
        <v>585</v>
      </c>
    </row>
    <row r="6" spans="1:4" ht="22.05" customHeight="1" x14ac:dyDescent="0.3">
      <c r="A6" s="121" t="s">
        <v>257</v>
      </c>
      <c r="B6" s="130">
        <v>201430000</v>
      </c>
      <c r="C6" s="130">
        <v>201430000</v>
      </c>
      <c r="D6" s="134" t="s">
        <v>585</v>
      </c>
    </row>
    <row r="7" spans="1:4" ht="22.05" customHeight="1" x14ac:dyDescent="0.3"/>
    <row r="8" spans="1:4" ht="22.05" customHeight="1" x14ac:dyDescent="0.3"/>
    <row r="9" spans="1:4" ht="22.05" customHeight="1" x14ac:dyDescent="0.3"/>
    <row r="10" spans="1:4" ht="22.05" customHeight="1" x14ac:dyDescent="0.3"/>
    <row r="11" spans="1:4" ht="22.05" customHeight="1" x14ac:dyDescent="0.3"/>
    <row r="12" spans="1:4" ht="22.05" customHeight="1" x14ac:dyDescent="0.3"/>
    <row r="13" spans="1:4" ht="22.05" customHeight="1" x14ac:dyDescent="0.3"/>
    <row r="14" spans="1:4" ht="22.05" customHeight="1" x14ac:dyDescent="0.3"/>
    <row r="15" spans="1:4" ht="22.05" customHeight="1" x14ac:dyDescent="0.3"/>
    <row r="16" spans="1:4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/>
  </sheetViews>
  <sheetFormatPr defaultRowHeight="14.4" x14ac:dyDescent="0.3"/>
  <cols>
    <col min="1" max="1" width="79.6640625" customWidth="1"/>
    <col min="2" max="2" width="28.109375" customWidth="1"/>
    <col min="3" max="3" width="30" customWidth="1"/>
    <col min="4" max="4" width="25.5546875" customWidth="1"/>
    <col min="5" max="5" width="24.109375" customWidth="1"/>
    <col min="6" max="6" width="22.88671875" customWidth="1"/>
    <col min="7" max="7" width="23.21875" customWidth="1"/>
  </cols>
  <sheetData>
    <row r="1" spans="1:3" ht="25.95" customHeight="1" x14ac:dyDescent="0.35">
      <c r="A1" s="132" t="s">
        <v>258</v>
      </c>
    </row>
    <row r="2" spans="1:3" ht="30" customHeight="1" x14ac:dyDescent="0.3">
      <c r="A2" s="125" t="s">
        <v>259</v>
      </c>
    </row>
    <row r="3" spans="1:3" ht="15" customHeight="1" x14ac:dyDescent="0.3"/>
    <row r="4" spans="1:3" ht="22.05" customHeight="1" x14ac:dyDescent="0.3">
      <c r="A4" s="135" t="s">
        <v>260</v>
      </c>
      <c r="B4" s="136" t="s">
        <v>261</v>
      </c>
      <c r="C4" s="137" t="s">
        <v>262</v>
      </c>
    </row>
    <row r="5" spans="1:3" ht="22.05" customHeight="1" x14ac:dyDescent="0.3">
      <c r="A5" s="106" t="s">
        <v>263</v>
      </c>
      <c r="B5" s="138">
        <v>25874276.559999999</v>
      </c>
      <c r="C5" s="139">
        <v>12590345.449999999</v>
      </c>
    </row>
    <row r="6" spans="1:3" ht="22.05" customHeight="1" x14ac:dyDescent="0.3">
      <c r="A6" s="109" t="s">
        <v>264</v>
      </c>
      <c r="B6" s="140">
        <v>25133598.969999999</v>
      </c>
      <c r="C6" s="141">
        <v>24226912.98</v>
      </c>
    </row>
    <row r="7" spans="1:3" ht="22.05" customHeight="1" x14ac:dyDescent="0.3">
      <c r="A7" s="112" t="s">
        <v>265</v>
      </c>
      <c r="B7" s="142">
        <v>0</v>
      </c>
      <c r="C7" s="143">
        <v>0</v>
      </c>
    </row>
    <row r="8" spans="1:3" ht="22.05" customHeight="1" x14ac:dyDescent="0.3">
      <c r="A8" s="144" t="s">
        <v>266</v>
      </c>
      <c r="B8" s="145">
        <v>740677.59</v>
      </c>
      <c r="C8" s="146">
        <v>-11636567.529999999</v>
      </c>
    </row>
    <row r="9" spans="1:3" ht="22.05" customHeight="1" x14ac:dyDescent="0.3"/>
    <row r="10" spans="1:3" ht="22.05" customHeight="1" x14ac:dyDescent="0.3"/>
    <row r="11" spans="1:3" ht="22.05" customHeight="1" x14ac:dyDescent="0.3"/>
    <row r="12" spans="1:3" ht="22.05" customHeight="1" x14ac:dyDescent="0.3"/>
    <row r="13" spans="1:3" ht="22.05" customHeight="1" x14ac:dyDescent="0.3"/>
    <row r="14" spans="1:3" ht="22.05" customHeight="1" x14ac:dyDescent="0.3"/>
    <row r="15" spans="1:3" ht="22.0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5"/>
  <sheetViews>
    <sheetView workbookViewId="0"/>
  </sheetViews>
  <sheetFormatPr defaultRowHeight="14.4" x14ac:dyDescent="0.3"/>
  <cols>
    <col min="1" max="1" width="32.109375" customWidth="1"/>
    <col min="2" max="2" width="34.44140625" customWidth="1"/>
    <col min="3" max="3" width="24.88671875" customWidth="1"/>
    <col min="5" max="5" width="24.109375" customWidth="1"/>
    <col min="6" max="6" width="22.88671875" customWidth="1"/>
    <col min="7" max="7" width="23.21875" customWidth="1"/>
  </cols>
  <sheetData>
    <row r="1" spans="1:4" ht="25.95" customHeight="1" x14ac:dyDescent="0.35">
      <c r="A1" s="132" t="s">
        <v>267</v>
      </c>
    </row>
    <row r="2" spans="1:4" ht="30" customHeight="1" x14ac:dyDescent="0.3">
      <c r="A2" s="125" t="s">
        <v>268</v>
      </c>
    </row>
    <row r="3" spans="1:4" ht="15" customHeight="1" x14ac:dyDescent="0.3"/>
    <row r="4" spans="1:4" ht="22.05" customHeight="1" x14ac:dyDescent="0.3">
      <c r="A4" s="147" t="s">
        <v>269</v>
      </c>
      <c r="B4" s="148" t="s">
        <v>270</v>
      </c>
      <c r="C4" s="148" t="s">
        <v>271</v>
      </c>
      <c r="D4" s="149" t="s">
        <v>272</v>
      </c>
    </row>
    <row r="5" spans="1:4" ht="22.05" customHeight="1" x14ac:dyDescent="0.3">
      <c r="A5" s="150">
        <v>32230689.379999999</v>
      </c>
      <c r="B5" s="151">
        <v>59171522.350000001</v>
      </c>
      <c r="C5" s="152">
        <v>26940832.969999999</v>
      </c>
      <c r="D5" s="153">
        <v>0.83589999999999998</v>
      </c>
    </row>
    <row r="6" spans="1:4" ht="22.05" customHeight="1" x14ac:dyDescent="0.3"/>
    <row r="7" spans="1:4" ht="22.05" customHeight="1" x14ac:dyDescent="0.3"/>
    <row r="8" spans="1:4" ht="22.05" customHeight="1" x14ac:dyDescent="0.3"/>
    <row r="9" spans="1:4" ht="22.05" customHeight="1" x14ac:dyDescent="0.3"/>
    <row r="10" spans="1:4" ht="22.05" customHeight="1" x14ac:dyDescent="0.3"/>
    <row r="11" spans="1:4" ht="22.05" customHeight="1" x14ac:dyDescent="0.3"/>
    <row r="12" spans="1:4" ht="22.05" customHeight="1" x14ac:dyDescent="0.3"/>
    <row r="13" spans="1:4" ht="22.05" customHeight="1" x14ac:dyDescent="0.3"/>
    <row r="14" spans="1:4" ht="22.05" customHeight="1" x14ac:dyDescent="0.3"/>
    <row r="15" spans="1:4" ht="22.05" customHeight="1" x14ac:dyDescent="0.3"/>
    <row r="16" spans="1:4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5"/>
  <sheetViews>
    <sheetView workbookViewId="0"/>
  </sheetViews>
  <sheetFormatPr defaultRowHeight="14.4" x14ac:dyDescent="0.3"/>
  <cols>
    <col min="1" max="1" width="59.21875" customWidth="1"/>
    <col min="2" max="2" width="30.21875" customWidth="1"/>
    <col min="3" max="3" width="31.55468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3" ht="25.95" customHeight="1" x14ac:dyDescent="0.35">
      <c r="A1" s="132" t="s">
        <v>273</v>
      </c>
    </row>
    <row r="2" spans="1:3" ht="30" customHeight="1" x14ac:dyDescent="0.3">
      <c r="A2" s="125" t="s">
        <v>274</v>
      </c>
    </row>
    <row r="3" spans="1:3" ht="15" customHeight="1" x14ac:dyDescent="0.3"/>
    <row r="4" spans="1:3" ht="22.05" customHeight="1" x14ac:dyDescent="0.3">
      <c r="A4" s="135" t="s">
        <v>4</v>
      </c>
      <c r="B4" s="136" t="s">
        <v>261</v>
      </c>
      <c r="C4" s="137" t="s">
        <v>262</v>
      </c>
    </row>
    <row r="5" spans="1:3" ht="22.05" customHeight="1" x14ac:dyDescent="0.3">
      <c r="A5" s="106" t="s">
        <v>275</v>
      </c>
      <c r="B5" s="154">
        <v>13149379.550000001</v>
      </c>
      <c r="C5" s="155">
        <v>-3504085.95</v>
      </c>
    </row>
    <row r="6" spans="1:3" ht="22.05" customHeight="1" x14ac:dyDescent="0.3">
      <c r="A6" s="112" t="s">
        <v>276</v>
      </c>
      <c r="B6" s="133">
        <v>12543402.1</v>
      </c>
      <c r="C6" s="156">
        <v>16047488.050000001</v>
      </c>
    </row>
    <row r="7" spans="1:3" ht="22.05" customHeight="1" x14ac:dyDescent="0.3">
      <c r="A7" s="144" t="s">
        <v>277</v>
      </c>
      <c r="B7" s="157">
        <v>25692781.649999999</v>
      </c>
      <c r="C7" s="158">
        <v>12543402.1</v>
      </c>
    </row>
    <row r="8" spans="1:3" ht="22.05" customHeight="1" x14ac:dyDescent="0.3"/>
    <row r="9" spans="1:3" ht="22.05" customHeight="1" x14ac:dyDescent="0.3"/>
    <row r="10" spans="1:3" ht="22.05" customHeight="1" x14ac:dyDescent="0.3"/>
    <row r="11" spans="1:3" ht="22.05" customHeight="1" x14ac:dyDescent="0.3"/>
    <row r="12" spans="1:3" ht="22.05" customHeight="1" x14ac:dyDescent="0.3"/>
    <row r="13" spans="1:3" ht="22.05" customHeight="1" x14ac:dyDescent="0.3"/>
    <row r="14" spans="1:3" ht="22.05" customHeight="1" x14ac:dyDescent="0.3"/>
    <row r="15" spans="1:3" ht="22.0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5"/>
  <sheetViews>
    <sheetView workbookViewId="0"/>
  </sheetViews>
  <sheetFormatPr defaultRowHeight="14.4" x14ac:dyDescent="0.3"/>
  <cols>
    <col min="1" max="1" width="79.6640625" customWidth="1"/>
    <col min="2" max="2" width="19.441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132" t="s">
        <v>278</v>
      </c>
    </row>
    <row r="2" spans="1:2" ht="30" customHeight="1" x14ac:dyDescent="0.3">
      <c r="A2" s="125" t="s">
        <v>279</v>
      </c>
    </row>
    <row r="3" spans="1:2" ht="15" customHeight="1" x14ac:dyDescent="0.3"/>
    <row r="4" spans="1:2" ht="22.05" customHeight="1" x14ac:dyDescent="0.3">
      <c r="A4" s="159" t="s">
        <v>113</v>
      </c>
      <c r="B4" s="160" t="s">
        <v>280</v>
      </c>
    </row>
    <row r="5" spans="1:2" ht="22.05" customHeight="1" x14ac:dyDescent="0.3">
      <c r="A5" s="112" t="s">
        <v>281</v>
      </c>
      <c r="B5" s="161">
        <v>25670372.68</v>
      </c>
    </row>
    <row r="6" spans="1:2" ht="22.05" customHeight="1" x14ac:dyDescent="0.3">
      <c r="A6" s="109" t="s">
        <v>282</v>
      </c>
      <c r="B6" s="156">
        <v>19973068.609999999</v>
      </c>
    </row>
    <row r="7" spans="1:2" ht="22.05" customHeight="1" x14ac:dyDescent="0.3">
      <c r="A7" s="112" t="s">
        <v>283</v>
      </c>
      <c r="B7" s="161">
        <v>4819756.95</v>
      </c>
    </row>
    <row r="8" spans="1:2" ht="22.05" customHeight="1" x14ac:dyDescent="0.3">
      <c r="A8" s="162" t="s">
        <v>284</v>
      </c>
      <c r="B8" s="163">
        <v>877547.12</v>
      </c>
    </row>
    <row r="9" spans="1:2" ht="22.05" customHeight="1" x14ac:dyDescent="0.3">
      <c r="A9" s="109" t="s">
        <v>285</v>
      </c>
      <c r="B9" s="156">
        <v>10094584.25</v>
      </c>
    </row>
    <row r="10" spans="1:2" ht="22.05" customHeight="1" x14ac:dyDescent="0.3">
      <c r="A10" s="112" t="s">
        <v>286</v>
      </c>
      <c r="B10" s="161">
        <v>3557729.22</v>
      </c>
    </row>
    <row r="11" spans="1:2" ht="22.05" customHeight="1" x14ac:dyDescent="0.3">
      <c r="A11" s="109" t="s">
        <v>287</v>
      </c>
      <c r="B11" s="156">
        <v>302258.53000000003</v>
      </c>
    </row>
    <row r="12" spans="1:2" ht="22.05" customHeight="1" x14ac:dyDescent="0.3">
      <c r="A12" s="162" t="s">
        <v>288</v>
      </c>
      <c r="B12" s="163">
        <v>13954572</v>
      </c>
    </row>
    <row r="13" spans="1:2" ht="22.05" customHeight="1" x14ac:dyDescent="0.3">
      <c r="A13" s="112" t="s">
        <v>289</v>
      </c>
      <c r="B13" s="161">
        <v>8187197.3300000001</v>
      </c>
    </row>
    <row r="14" spans="1:2" ht="22.05" customHeight="1" x14ac:dyDescent="0.3">
      <c r="A14" s="109" t="s">
        <v>290</v>
      </c>
      <c r="B14" s="156">
        <v>906844.31</v>
      </c>
    </row>
    <row r="15" spans="1:2" ht="22.05" customHeight="1" x14ac:dyDescent="0.3">
      <c r="A15" s="112" t="s">
        <v>291</v>
      </c>
      <c r="B15" s="161">
        <v>0</v>
      </c>
    </row>
    <row r="16" spans="1:2" ht="19.95" customHeight="1" x14ac:dyDescent="0.3">
      <c r="A16" s="162" t="s">
        <v>292</v>
      </c>
      <c r="B16" s="163">
        <v>4860530.3600000003</v>
      </c>
    </row>
    <row r="17" spans="1:2" ht="19.95" customHeight="1" x14ac:dyDescent="0.3">
      <c r="A17" s="144" t="s">
        <v>293</v>
      </c>
      <c r="B17" s="158">
        <v>-3982983.24</v>
      </c>
    </row>
    <row r="18" spans="1:2" ht="19.95" customHeight="1" x14ac:dyDescent="0.3"/>
    <row r="19" spans="1:2" ht="19.95" customHeight="1" x14ac:dyDescent="0.3"/>
    <row r="20" spans="1:2" ht="19.95" customHeight="1" x14ac:dyDescent="0.3"/>
    <row r="21" spans="1:2" ht="19.95" customHeight="1" x14ac:dyDescent="0.3"/>
    <row r="22" spans="1:2" ht="19.95" customHeight="1" x14ac:dyDescent="0.3"/>
    <row r="23" spans="1:2" ht="19.95" customHeight="1" x14ac:dyDescent="0.3"/>
    <row r="24" spans="1:2" ht="19.95" customHeight="1" x14ac:dyDescent="0.3"/>
    <row r="25" spans="1:2" ht="19.95" customHeight="1" x14ac:dyDescent="0.3"/>
    <row r="26" spans="1:2" ht="19.95" customHeight="1" x14ac:dyDescent="0.3"/>
    <row r="27" spans="1:2" ht="19.95" customHeight="1" x14ac:dyDescent="0.3"/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5"/>
  <sheetViews>
    <sheetView workbookViewId="0"/>
  </sheetViews>
  <sheetFormatPr defaultRowHeight="14.4" x14ac:dyDescent="0.3"/>
  <cols>
    <col min="1" max="1" width="79.6640625" customWidth="1"/>
    <col min="2" max="2" width="30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132" t="s">
        <v>294</v>
      </c>
    </row>
    <row r="2" spans="1:2" ht="30" customHeight="1" x14ac:dyDescent="0.3">
      <c r="A2" s="125" t="s">
        <v>295</v>
      </c>
    </row>
    <row r="3" spans="1:2" ht="15" customHeight="1" x14ac:dyDescent="0.3"/>
    <row r="4" spans="1:2" ht="22.05" customHeight="1" x14ac:dyDescent="0.3">
      <c r="A4" s="164" t="s">
        <v>113</v>
      </c>
      <c r="B4" s="165" t="s">
        <v>280</v>
      </c>
    </row>
    <row r="5" spans="1:2" ht="22.05" customHeight="1" x14ac:dyDescent="0.3">
      <c r="A5" s="166" t="s">
        <v>296</v>
      </c>
      <c r="B5" s="167">
        <v>32376665.52</v>
      </c>
    </row>
    <row r="6" spans="1:2" ht="22.05" customHeight="1" x14ac:dyDescent="0.3">
      <c r="A6" s="168" t="s">
        <v>297</v>
      </c>
      <c r="B6" s="169">
        <v>26535925.640000001</v>
      </c>
    </row>
    <row r="7" spans="1:2" ht="22.05" customHeight="1" x14ac:dyDescent="0.3">
      <c r="A7" s="170" t="s">
        <v>298</v>
      </c>
      <c r="B7" s="171">
        <v>5840739.8799999999</v>
      </c>
    </row>
    <row r="8" spans="1:2" ht="22.05" customHeight="1" x14ac:dyDescent="0.3">
      <c r="A8" s="166" t="s">
        <v>299</v>
      </c>
      <c r="B8" s="167">
        <v>5840739.8799999999</v>
      </c>
    </row>
    <row r="9" spans="1:2" ht="22.05" customHeight="1" x14ac:dyDescent="0.3">
      <c r="A9" s="172" t="s">
        <v>300</v>
      </c>
      <c r="B9" s="158">
        <v>0</v>
      </c>
    </row>
    <row r="10" spans="1:2" ht="22.05" customHeight="1" x14ac:dyDescent="0.3"/>
    <row r="11" spans="1:2" ht="22.05" customHeight="1" x14ac:dyDescent="0.3"/>
    <row r="12" spans="1:2" ht="22.05" customHeight="1" x14ac:dyDescent="0.3"/>
    <row r="13" spans="1:2" ht="22.05" customHeight="1" x14ac:dyDescent="0.3"/>
    <row r="14" spans="1:2" ht="22.05" customHeight="1" x14ac:dyDescent="0.3"/>
    <row r="15" spans="1:2" ht="22.05" customHeight="1" x14ac:dyDescent="0.3"/>
    <row r="16" spans="1:2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5"/>
  <sheetViews>
    <sheetView topLeftCell="A21" workbookViewId="0"/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132" t="s">
        <v>301</v>
      </c>
    </row>
    <row r="2" spans="1:2" ht="30" customHeight="1" x14ac:dyDescent="0.3">
      <c r="A2" s="125" t="s">
        <v>302</v>
      </c>
    </row>
    <row r="3" spans="1:2" ht="15" customHeight="1" x14ac:dyDescent="0.3">
      <c r="A3" s="173"/>
      <c r="B3" s="173"/>
    </row>
    <row r="4" spans="1:2" ht="22.05" customHeight="1" x14ac:dyDescent="0.3">
      <c r="A4" s="174" t="s">
        <v>113</v>
      </c>
      <c r="B4" s="175" t="s">
        <v>145</v>
      </c>
    </row>
    <row r="5" spans="1:2" ht="22.05" customHeight="1" x14ac:dyDescent="0.3">
      <c r="A5" s="162" t="s">
        <v>303</v>
      </c>
      <c r="B5" s="163">
        <v>22874434.43</v>
      </c>
    </row>
    <row r="6" spans="1:2" ht="22.05" customHeight="1" x14ac:dyDescent="0.3">
      <c r="A6" s="112" t="s">
        <v>304</v>
      </c>
      <c r="B6" s="161">
        <v>837274.31</v>
      </c>
    </row>
    <row r="7" spans="1:2" ht="22.05" customHeight="1" x14ac:dyDescent="0.3">
      <c r="A7" s="109" t="s">
        <v>305</v>
      </c>
      <c r="B7" s="176">
        <v>0</v>
      </c>
    </row>
    <row r="8" spans="1:2" ht="22.05" customHeight="1" x14ac:dyDescent="0.3">
      <c r="A8" s="112" t="s">
        <v>306</v>
      </c>
      <c r="B8" s="161">
        <v>573008.18000000005</v>
      </c>
    </row>
    <row r="9" spans="1:2" ht="22.05" customHeight="1" x14ac:dyDescent="0.3">
      <c r="A9" s="109" t="s">
        <v>307</v>
      </c>
      <c r="B9" s="176">
        <v>0</v>
      </c>
    </row>
    <row r="10" spans="1:2" ht="22.05" customHeight="1" x14ac:dyDescent="0.3">
      <c r="A10" s="112" t="s">
        <v>308</v>
      </c>
      <c r="B10" s="161">
        <v>10674880.050000001</v>
      </c>
    </row>
    <row r="11" spans="1:2" ht="22.05" customHeight="1" x14ac:dyDescent="0.3">
      <c r="A11" s="109" t="s">
        <v>309</v>
      </c>
      <c r="B11" s="176">
        <v>0</v>
      </c>
    </row>
    <row r="12" spans="1:2" ht="22.05" customHeight="1" x14ac:dyDescent="0.3">
      <c r="A12" s="112" t="s">
        <v>310</v>
      </c>
      <c r="B12" s="161">
        <v>10789271.890000001</v>
      </c>
    </row>
    <row r="13" spans="1:2" ht="22.05" customHeight="1" x14ac:dyDescent="0.3">
      <c r="A13" s="109" t="s">
        <v>311</v>
      </c>
      <c r="B13" s="176">
        <v>0</v>
      </c>
    </row>
    <row r="14" spans="1:2" ht="22.05" customHeight="1" x14ac:dyDescent="0.3">
      <c r="A14" s="112" t="s">
        <v>312</v>
      </c>
      <c r="B14" s="177">
        <v>0</v>
      </c>
    </row>
    <row r="15" spans="1:2" ht="22.05" customHeight="1" x14ac:dyDescent="0.3">
      <c r="A15" s="109" t="s">
        <v>313</v>
      </c>
      <c r="B15" s="176">
        <v>0</v>
      </c>
    </row>
    <row r="16" spans="1:2" ht="19.95" customHeight="1" x14ac:dyDescent="0.3">
      <c r="A16" s="112" t="s">
        <v>314</v>
      </c>
      <c r="B16" s="177">
        <v>0</v>
      </c>
    </row>
    <row r="17" spans="1:2" ht="19.95" customHeight="1" x14ac:dyDescent="0.3">
      <c r="A17" s="109" t="s">
        <v>315</v>
      </c>
      <c r="B17" s="176">
        <v>0</v>
      </c>
    </row>
    <row r="18" spans="1:2" ht="19.95" customHeight="1" x14ac:dyDescent="0.3">
      <c r="A18" s="162" t="s">
        <v>316</v>
      </c>
      <c r="B18" s="163">
        <v>68219355.989999995</v>
      </c>
    </row>
    <row r="19" spans="1:2" ht="19.95" customHeight="1" x14ac:dyDescent="0.3">
      <c r="A19" s="112" t="s">
        <v>317</v>
      </c>
      <c r="B19" s="161">
        <v>48059649.240000002</v>
      </c>
    </row>
    <row r="20" spans="1:2" ht="19.95" customHeight="1" x14ac:dyDescent="0.3">
      <c r="A20" s="109" t="s">
        <v>318</v>
      </c>
      <c r="B20" s="156">
        <v>22812.69</v>
      </c>
    </row>
    <row r="21" spans="1:2" ht="19.95" customHeight="1" x14ac:dyDescent="0.3">
      <c r="A21" s="112" t="s">
        <v>319</v>
      </c>
      <c r="B21" s="161">
        <v>3956773.04</v>
      </c>
    </row>
    <row r="22" spans="1:2" ht="19.95" customHeight="1" x14ac:dyDescent="0.3">
      <c r="A22" s="109" t="s">
        <v>320</v>
      </c>
      <c r="B22" s="156">
        <v>16073985.640000001</v>
      </c>
    </row>
    <row r="23" spans="1:2" ht="19.95" customHeight="1" x14ac:dyDescent="0.3">
      <c r="A23" s="112" t="s">
        <v>321</v>
      </c>
      <c r="B23" s="161">
        <v>0</v>
      </c>
    </row>
    <row r="24" spans="1:2" ht="19.95" customHeight="1" x14ac:dyDescent="0.3">
      <c r="A24" s="109" t="s">
        <v>322</v>
      </c>
      <c r="B24" s="156">
        <v>106135.38</v>
      </c>
    </row>
    <row r="25" spans="1:2" ht="19.95" customHeight="1" x14ac:dyDescent="0.3">
      <c r="A25" s="112" t="s">
        <v>323</v>
      </c>
      <c r="B25" s="177">
        <v>0</v>
      </c>
    </row>
    <row r="26" spans="1:2" ht="19.95" customHeight="1" x14ac:dyDescent="0.3">
      <c r="A26" s="109" t="s">
        <v>324</v>
      </c>
      <c r="B26" s="176">
        <v>0</v>
      </c>
    </row>
    <row r="27" spans="1:2" ht="19.95" customHeight="1" x14ac:dyDescent="0.3">
      <c r="A27" s="144" t="s">
        <v>325</v>
      </c>
      <c r="B27" s="158">
        <v>91093790.420000002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3"/>
  <sheetViews>
    <sheetView topLeftCell="A3" workbookViewId="0"/>
  </sheetViews>
  <sheetFormatPr defaultRowHeight="14.4" x14ac:dyDescent="0.3"/>
  <cols>
    <col min="1" max="1" width="79.6640625" customWidth="1"/>
    <col min="2" max="2" width="22.21875" customWidth="1"/>
  </cols>
  <sheetData>
    <row r="1" spans="1:2" ht="17.399999999999999" customHeight="1" x14ac:dyDescent="0.35">
      <c r="A1" s="132" t="s">
        <v>326</v>
      </c>
    </row>
    <row r="2" spans="1:2" x14ac:dyDescent="0.3">
      <c r="A2" s="125" t="s">
        <v>327</v>
      </c>
    </row>
    <row r="3" spans="1:2" ht="15" customHeight="1" x14ac:dyDescent="0.3"/>
    <row r="4" spans="1:2" ht="15" customHeight="1" x14ac:dyDescent="0.3">
      <c r="A4" s="103" t="s">
        <v>113</v>
      </c>
      <c r="B4" s="178" t="s">
        <v>145</v>
      </c>
    </row>
    <row r="5" spans="1:2" x14ac:dyDescent="0.3">
      <c r="A5" s="179" t="s">
        <v>328</v>
      </c>
      <c r="B5" s="180">
        <v>14214803.41</v>
      </c>
    </row>
    <row r="6" spans="1:2" x14ac:dyDescent="0.3">
      <c r="A6" s="181" t="s">
        <v>329</v>
      </c>
      <c r="B6" s="156">
        <v>21515057.609999999</v>
      </c>
    </row>
    <row r="7" spans="1:2" x14ac:dyDescent="0.3">
      <c r="A7" s="182" t="s">
        <v>330</v>
      </c>
      <c r="B7" s="161">
        <v>0</v>
      </c>
    </row>
    <row r="8" spans="1:2" x14ac:dyDescent="0.3">
      <c r="A8" s="181" t="s">
        <v>331</v>
      </c>
      <c r="B8" s="156">
        <v>0</v>
      </c>
    </row>
    <row r="9" spans="1:2" x14ac:dyDescent="0.3">
      <c r="A9" s="182" t="s">
        <v>332</v>
      </c>
      <c r="B9" s="161">
        <v>2282523.2000000002</v>
      </c>
    </row>
    <row r="10" spans="1:2" x14ac:dyDescent="0.3">
      <c r="A10" s="181" t="s">
        <v>333</v>
      </c>
      <c r="B10" s="156">
        <v>0</v>
      </c>
    </row>
    <row r="11" spans="1:2" x14ac:dyDescent="0.3">
      <c r="A11" s="182" t="s">
        <v>334</v>
      </c>
      <c r="B11" s="161">
        <v>18000135.420000002</v>
      </c>
    </row>
    <row r="12" spans="1:2" x14ac:dyDescent="0.3">
      <c r="A12" s="183" t="s">
        <v>335</v>
      </c>
      <c r="B12" s="163">
        <v>56012519.640000001</v>
      </c>
    </row>
    <row r="13" spans="1:2" ht="28.8" customHeight="1" x14ac:dyDescent="0.3">
      <c r="A13" s="181" t="s">
        <v>336</v>
      </c>
      <c r="B13" s="156">
        <v>0</v>
      </c>
    </row>
    <row r="14" spans="1:2" x14ac:dyDescent="0.3">
      <c r="A14" s="182" t="s">
        <v>337</v>
      </c>
      <c r="B14" s="161">
        <v>0</v>
      </c>
    </row>
    <row r="15" spans="1:2" x14ac:dyDescent="0.3">
      <c r="A15" s="181" t="s">
        <v>338</v>
      </c>
      <c r="B15" s="156">
        <v>0</v>
      </c>
    </row>
    <row r="16" spans="1:2" x14ac:dyDescent="0.3">
      <c r="A16" s="182" t="s">
        <v>339</v>
      </c>
      <c r="B16" s="161">
        <v>37417178.899999999</v>
      </c>
    </row>
    <row r="17" spans="1:2" x14ac:dyDescent="0.3">
      <c r="A17" s="181" t="s">
        <v>340</v>
      </c>
      <c r="B17" s="156">
        <v>0</v>
      </c>
    </row>
    <row r="18" spans="1:2" ht="28.8" customHeight="1" x14ac:dyDescent="0.3">
      <c r="A18" s="182" t="s">
        <v>341</v>
      </c>
      <c r="B18" s="161">
        <v>0</v>
      </c>
    </row>
    <row r="19" spans="1:2" x14ac:dyDescent="0.3">
      <c r="A19" s="181" t="s">
        <v>342</v>
      </c>
      <c r="B19" s="156">
        <v>0</v>
      </c>
    </row>
    <row r="20" spans="1:2" ht="28.8" customHeight="1" x14ac:dyDescent="0.3">
      <c r="A20" s="182" t="s">
        <v>343</v>
      </c>
      <c r="B20" s="161">
        <v>0</v>
      </c>
    </row>
    <row r="21" spans="1:2" ht="28.8" customHeight="1" x14ac:dyDescent="0.3">
      <c r="A21" s="183" t="s">
        <v>344</v>
      </c>
      <c r="B21" s="184">
        <v>18595340.739999998</v>
      </c>
    </row>
    <row r="22" spans="1:2" x14ac:dyDescent="0.3">
      <c r="A22" s="183" t="s">
        <v>177</v>
      </c>
      <c r="B22" s="163">
        <v>91093790.420000002</v>
      </c>
    </row>
    <row r="23" spans="1:2" ht="15" customHeight="1" x14ac:dyDescent="0.3">
      <c r="A23" s="185" t="s">
        <v>345</v>
      </c>
      <c r="B23" s="186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5"/>
  <sheetViews>
    <sheetView workbookViewId="0"/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132" t="s">
        <v>346</v>
      </c>
    </row>
    <row r="2" spans="1:2" ht="30" customHeight="1" x14ac:dyDescent="0.3">
      <c r="A2" s="187" t="s">
        <v>347</v>
      </c>
    </row>
    <row r="3" spans="1:2" ht="15" customHeight="1" x14ac:dyDescent="0.3">
      <c r="A3" s="173"/>
      <c r="B3" s="173"/>
    </row>
    <row r="4" spans="1:2" ht="22.05" customHeight="1" x14ac:dyDescent="0.3">
      <c r="A4" s="174" t="s">
        <v>113</v>
      </c>
      <c r="B4" s="175" t="s">
        <v>145</v>
      </c>
    </row>
    <row r="5" spans="1:2" ht="22.05" customHeight="1" x14ac:dyDescent="0.3">
      <c r="A5" s="162" t="s">
        <v>303</v>
      </c>
      <c r="B5" s="163">
        <v>22874434.43</v>
      </c>
    </row>
    <row r="6" spans="1:2" ht="22.05" customHeight="1" x14ac:dyDescent="0.3">
      <c r="A6" s="112" t="s">
        <v>304</v>
      </c>
      <c r="B6" s="161">
        <v>837274.31</v>
      </c>
    </row>
    <row r="7" spans="1:2" ht="22.05" customHeight="1" x14ac:dyDescent="0.3">
      <c r="A7" s="109" t="s">
        <v>348</v>
      </c>
      <c r="B7" s="156">
        <v>0</v>
      </c>
    </row>
    <row r="8" spans="1:2" ht="22.05" customHeight="1" x14ac:dyDescent="0.3">
      <c r="A8" s="112" t="s">
        <v>349</v>
      </c>
      <c r="B8" s="161">
        <v>573008.18000000005</v>
      </c>
    </row>
    <row r="9" spans="1:2" ht="22.05" customHeight="1" x14ac:dyDescent="0.3">
      <c r="A9" s="109" t="s">
        <v>350</v>
      </c>
      <c r="B9" s="156">
        <v>0</v>
      </c>
    </row>
    <row r="10" spans="1:2" ht="22.05" customHeight="1" x14ac:dyDescent="0.3">
      <c r="A10" s="112" t="s">
        <v>351</v>
      </c>
      <c r="B10" s="161">
        <v>10674880.050000001</v>
      </c>
    </row>
    <row r="11" spans="1:2" ht="22.05" customHeight="1" x14ac:dyDescent="0.3">
      <c r="A11" s="109" t="s">
        <v>352</v>
      </c>
      <c r="B11" s="156">
        <v>0</v>
      </c>
    </row>
    <row r="12" spans="1:2" ht="22.05" customHeight="1" x14ac:dyDescent="0.3">
      <c r="A12" s="112" t="s">
        <v>310</v>
      </c>
      <c r="B12" s="161">
        <v>10789271.890000001</v>
      </c>
    </row>
    <row r="13" spans="1:2" ht="22.05" customHeight="1" x14ac:dyDescent="0.3">
      <c r="A13" s="109" t="s">
        <v>311</v>
      </c>
      <c r="B13" s="156">
        <v>0</v>
      </c>
    </row>
    <row r="14" spans="1:2" ht="22.05" customHeight="1" x14ac:dyDescent="0.3">
      <c r="A14" s="112" t="s">
        <v>353</v>
      </c>
      <c r="B14" s="161">
        <v>0</v>
      </c>
    </row>
    <row r="15" spans="1:2" ht="22.05" customHeight="1" x14ac:dyDescent="0.3">
      <c r="A15" s="109" t="s">
        <v>354</v>
      </c>
      <c r="B15" s="156">
        <v>0</v>
      </c>
    </row>
    <row r="16" spans="1:2" ht="19.95" customHeight="1" x14ac:dyDescent="0.3">
      <c r="A16" s="112" t="s">
        <v>355</v>
      </c>
      <c r="B16" s="161">
        <v>0</v>
      </c>
    </row>
    <row r="17" spans="1:2" ht="19.95" customHeight="1" x14ac:dyDescent="0.3">
      <c r="A17" s="109" t="s">
        <v>356</v>
      </c>
      <c r="B17" s="156">
        <v>0</v>
      </c>
    </row>
    <row r="18" spans="1:2" ht="19.95" customHeight="1" x14ac:dyDescent="0.3">
      <c r="A18" s="162" t="s">
        <v>316</v>
      </c>
      <c r="B18" s="163">
        <v>73180807.349999994</v>
      </c>
    </row>
    <row r="19" spans="1:2" ht="19.95" customHeight="1" x14ac:dyDescent="0.3">
      <c r="A19" s="112" t="s">
        <v>317</v>
      </c>
      <c r="B19" s="161">
        <v>53021100.600000001</v>
      </c>
    </row>
    <row r="20" spans="1:2" ht="19.95" customHeight="1" x14ac:dyDescent="0.3">
      <c r="A20" s="109" t="s">
        <v>318</v>
      </c>
      <c r="B20" s="156">
        <v>22812.69</v>
      </c>
    </row>
    <row r="21" spans="1:2" ht="19.95" customHeight="1" x14ac:dyDescent="0.3">
      <c r="A21" s="112" t="s">
        <v>319</v>
      </c>
      <c r="B21" s="161">
        <v>3956773.04</v>
      </c>
    </row>
    <row r="22" spans="1:2" ht="19.95" customHeight="1" x14ac:dyDescent="0.3">
      <c r="A22" s="109" t="s">
        <v>320</v>
      </c>
      <c r="B22" s="156">
        <v>16073985.640000001</v>
      </c>
    </row>
    <row r="23" spans="1:2" ht="19.95" customHeight="1" x14ac:dyDescent="0.3">
      <c r="A23" s="112" t="s">
        <v>321</v>
      </c>
      <c r="B23" s="161">
        <v>0</v>
      </c>
    </row>
    <row r="24" spans="1:2" ht="19.95" customHeight="1" x14ac:dyDescent="0.3">
      <c r="A24" s="109" t="s">
        <v>322</v>
      </c>
      <c r="B24" s="156">
        <v>106135.38</v>
      </c>
    </row>
    <row r="25" spans="1:2" ht="19.95" customHeight="1" x14ac:dyDescent="0.3">
      <c r="A25" s="112" t="s">
        <v>323</v>
      </c>
      <c r="B25" s="161">
        <v>0</v>
      </c>
    </row>
    <row r="26" spans="1:2" ht="19.95" customHeight="1" x14ac:dyDescent="0.3">
      <c r="A26" s="109" t="s">
        <v>324</v>
      </c>
      <c r="B26" s="156">
        <v>0</v>
      </c>
    </row>
    <row r="27" spans="1:2" ht="19.95" customHeight="1" x14ac:dyDescent="0.3">
      <c r="A27" s="144" t="s">
        <v>325</v>
      </c>
      <c r="B27" s="158">
        <v>96055241.780000001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9"/>
  <sheetViews>
    <sheetView workbookViewId="0"/>
  </sheetViews>
  <sheetFormatPr defaultRowHeight="14.4" x14ac:dyDescent="0.3"/>
  <cols>
    <col min="1" max="1" width="79.6640625" customWidth="1"/>
    <col min="2" max="2" width="24.109375" customWidth="1"/>
  </cols>
  <sheetData>
    <row r="1" spans="1:2" ht="17.399999999999999" customHeight="1" x14ac:dyDescent="0.35">
      <c r="A1" s="33" t="s">
        <v>357</v>
      </c>
    </row>
    <row r="2" spans="1:2" x14ac:dyDescent="0.3">
      <c r="A2" s="26" t="s">
        <v>358</v>
      </c>
    </row>
    <row r="3" spans="1:2" ht="15" customHeight="1" x14ac:dyDescent="0.3">
      <c r="A3" s="173"/>
      <c r="B3" s="173"/>
    </row>
    <row r="4" spans="1:2" x14ac:dyDescent="0.3">
      <c r="A4" s="174" t="s">
        <v>113</v>
      </c>
      <c r="B4" s="175" t="s">
        <v>145</v>
      </c>
    </row>
    <row r="5" spans="1:2" x14ac:dyDescent="0.3">
      <c r="A5" s="188" t="s">
        <v>359</v>
      </c>
      <c r="B5" s="161">
        <v>75240841.430000007</v>
      </c>
    </row>
    <row r="6" spans="1:2" ht="28.8" customHeight="1" x14ac:dyDescent="0.3">
      <c r="A6" s="189" t="s">
        <v>360</v>
      </c>
      <c r="B6" s="156">
        <v>0</v>
      </c>
    </row>
    <row r="7" spans="1:2" x14ac:dyDescent="0.3">
      <c r="A7" s="188" t="s">
        <v>361</v>
      </c>
      <c r="B7" s="161">
        <v>0</v>
      </c>
    </row>
    <row r="8" spans="1:2" x14ac:dyDescent="0.3">
      <c r="A8" s="189" t="s">
        <v>362</v>
      </c>
      <c r="B8" s="156">
        <v>22381719.170000002</v>
      </c>
    </row>
    <row r="9" spans="1:2" x14ac:dyDescent="0.3">
      <c r="A9" s="190" t="s">
        <v>363</v>
      </c>
      <c r="B9" s="163">
        <v>97622560.599999994</v>
      </c>
    </row>
    <row r="10" spans="1:2" x14ac:dyDescent="0.3">
      <c r="A10" s="188" t="s">
        <v>364</v>
      </c>
      <c r="B10" s="161">
        <v>18652552.43</v>
      </c>
    </row>
    <row r="11" spans="1:2" x14ac:dyDescent="0.3">
      <c r="A11" s="189" t="s">
        <v>365</v>
      </c>
      <c r="B11" s="156">
        <v>47961000.530000001</v>
      </c>
    </row>
    <row r="12" spans="1:2" x14ac:dyDescent="0.3">
      <c r="A12" s="188" t="s">
        <v>366</v>
      </c>
      <c r="B12" s="161">
        <v>0</v>
      </c>
    </row>
    <row r="13" spans="1:2" x14ac:dyDescent="0.3">
      <c r="A13" s="189" t="s">
        <v>367</v>
      </c>
      <c r="B13" s="156">
        <v>0</v>
      </c>
    </row>
    <row r="14" spans="1:2" x14ac:dyDescent="0.3">
      <c r="A14" s="188" t="s">
        <v>368</v>
      </c>
      <c r="B14" s="161">
        <v>5189408.82</v>
      </c>
    </row>
    <row r="15" spans="1:2" ht="28.8" customHeight="1" x14ac:dyDescent="0.3">
      <c r="A15" s="189" t="s">
        <v>369</v>
      </c>
      <c r="B15" s="156">
        <v>0</v>
      </c>
    </row>
    <row r="16" spans="1:2" ht="28.8" customHeight="1" x14ac:dyDescent="0.3">
      <c r="A16" s="188" t="s">
        <v>370</v>
      </c>
      <c r="B16" s="161">
        <v>0</v>
      </c>
    </row>
    <row r="17" spans="1:2" x14ac:dyDescent="0.3">
      <c r="A17" s="190" t="s">
        <v>371</v>
      </c>
      <c r="B17" s="163">
        <v>25819598.82</v>
      </c>
    </row>
    <row r="18" spans="1:2" x14ac:dyDescent="0.3">
      <c r="A18" s="190" t="s">
        <v>177</v>
      </c>
      <c r="B18" s="163">
        <v>96055241.780000001</v>
      </c>
    </row>
    <row r="19" spans="1:2" ht="15" customHeight="1" x14ac:dyDescent="0.3">
      <c r="A19" s="191" t="s">
        <v>372</v>
      </c>
      <c r="B19" s="186">
        <v>0.26879999999999998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4"/>
  <sheetViews>
    <sheetView workbookViewId="0"/>
  </sheetViews>
  <sheetFormatPr defaultRowHeight="14.4" x14ac:dyDescent="0.3"/>
  <cols>
    <col min="1" max="1" width="79.6640625" customWidth="1"/>
    <col min="2" max="2" width="24.109375" customWidth="1"/>
  </cols>
  <sheetData>
    <row r="1" spans="1:2" ht="17.399999999999999" customHeight="1" x14ac:dyDescent="0.35">
      <c r="A1" s="132" t="s">
        <v>373</v>
      </c>
    </row>
    <row r="2" spans="1:2" x14ac:dyDescent="0.3">
      <c r="A2" s="187" t="s">
        <v>374</v>
      </c>
    </row>
    <row r="3" spans="1:2" ht="15" customHeight="1" x14ac:dyDescent="0.3"/>
    <row r="4" spans="1:2" x14ac:dyDescent="0.3">
      <c r="A4" s="192" t="s">
        <v>113</v>
      </c>
      <c r="B4" s="165" t="s">
        <v>145</v>
      </c>
    </row>
    <row r="5" spans="1:2" x14ac:dyDescent="0.3">
      <c r="A5" s="193" t="s">
        <v>375</v>
      </c>
      <c r="B5" s="161">
        <v>48059649.240000002</v>
      </c>
    </row>
    <row r="6" spans="1:2" x14ac:dyDescent="0.3">
      <c r="A6" s="194" t="s">
        <v>376</v>
      </c>
      <c r="B6" s="155">
        <v>16073985.640000001</v>
      </c>
    </row>
    <row r="7" spans="1:2" x14ac:dyDescent="0.3">
      <c r="A7" s="193" t="s">
        <v>377</v>
      </c>
      <c r="B7" s="161">
        <v>106135.38</v>
      </c>
    </row>
    <row r="8" spans="1:2" x14ac:dyDescent="0.3">
      <c r="A8" s="195" t="s">
        <v>378</v>
      </c>
      <c r="B8" s="156">
        <v>22812.69</v>
      </c>
    </row>
    <row r="9" spans="1:2" x14ac:dyDescent="0.3">
      <c r="A9" s="193" t="s">
        <v>379</v>
      </c>
      <c r="B9" s="161">
        <v>3956773.04</v>
      </c>
    </row>
    <row r="10" spans="1:2" x14ac:dyDescent="0.3">
      <c r="A10" s="195" t="s">
        <v>380</v>
      </c>
      <c r="B10" s="156">
        <v>0</v>
      </c>
    </row>
    <row r="11" spans="1:2" x14ac:dyDescent="0.3">
      <c r="A11" s="196" t="s">
        <v>381</v>
      </c>
      <c r="B11" s="163">
        <v>68219355.989999995</v>
      </c>
    </row>
    <row r="12" spans="1:2" x14ac:dyDescent="0.3">
      <c r="A12" s="170" t="s">
        <v>382</v>
      </c>
      <c r="B12" s="171">
        <v>13643871.210000001</v>
      </c>
    </row>
    <row r="13" spans="1:2" x14ac:dyDescent="0.3">
      <c r="A13" s="170" t="s">
        <v>383</v>
      </c>
      <c r="B13" s="171">
        <v>13643871.199999999</v>
      </c>
    </row>
    <row r="14" spans="1:2" ht="15" customHeight="1" x14ac:dyDescent="0.3">
      <c r="A14" s="172" t="s">
        <v>384</v>
      </c>
      <c r="B14" s="186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2"/>
  <sheetViews>
    <sheetView workbookViewId="0"/>
  </sheetViews>
  <sheetFormatPr defaultRowHeight="14.4" x14ac:dyDescent="0.3"/>
  <cols>
    <col min="1" max="1" width="66.6640625" customWidth="1"/>
    <col min="2" max="2" width="27.77734375" customWidth="1"/>
  </cols>
  <sheetData>
    <row r="1" spans="1:2" ht="17.399999999999999" customHeight="1" x14ac:dyDescent="0.35">
      <c r="A1" s="132" t="s">
        <v>385</v>
      </c>
    </row>
    <row r="2" spans="1:2" x14ac:dyDescent="0.3">
      <c r="A2" s="125" t="s">
        <v>386</v>
      </c>
    </row>
    <row r="3" spans="1:2" ht="15" customHeight="1" x14ac:dyDescent="0.3"/>
    <row r="4" spans="1:2" x14ac:dyDescent="0.3">
      <c r="A4" s="159" t="s">
        <v>113</v>
      </c>
      <c r="B4" s="160" t="s">
        <v>145</v>
      </c>
    </row>
    <row r="5" spans="1:2" x14ac:dyDescent="0.3">
      <c r="A5" s="162" t="s">
        <v>387</v>
      </c>
      <c r="B5" s="163">
        <v>80257424.159999996</v>
      </c>
    </row>
    <row r="6" spans="1:2" x14ac:dyDescent="0.3">
      <c r="A6" s="112" t="s">
        <v>388</v>
      </c>
      <c r="B6" s="161">
        <v>32296423.629999999</v>
      </c>
    </row>
    <row r="7" spans="1:2" x14ac:dyDescent="0.3">
      <c r="A7" s="109" t="s">
        <v>389</v>
      </c>
      <c r="B7" s="156">
        <v>23186379.43</v>
      </c>
    </row>
    <row r="8" spans="1:2" x14ac:dyDescent="0.3">
      <c r="A8" s="112" t="s">
        <v>390</v>
      </c>
      <c r="B8" s="161">
        <v>23275228.879999999</v>
      </c>
    </row>
    <row r="9" spans="1:2" x14ac:dyDescent="0.3">
      <c r="A9" s="109" t="s">
        <v>391</v>
      </c>
      <c r="B9" s="156">
        <v>1499392.22</v>
      </c>
    </row>
    <row r="10" spans="1:2" x14ac:dyDescent="0.3">
      <c r="A10" s="112" t="s">
        <v>392</v>
      </c>
      <c r="B10" s="161">
        <v>0</v>
      </c>
    </row>
    <row r="11" spans="1:2" x14ac:dyDescent="0.3">
      <c r="A11" s="162" t="s">
        <v>393</v>
      </c>
      <c r="B11" s="163">
        <v>13643871.199999999</v>
      </c>
    </row>
    <row r="12" spans="1:2" ht="15" customHeight="1" x14ac:dyDescent="0.3">
      <c r="A12" s="144" t="s">
        <v>394</v>
      </c>
      <c r="B12" s="158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2"/>
  <sheetViews>
    <sheetView workbookViewId="0"/>
  </sheetViews>
  <sheetFormatPr defaultRowHeight="14.4" x14ac:dyDescent="0.3"/>
  <cols>
    <col min="1" max="1" width="29.44140625" customWidth="1"/>
    <col min="2" max="2" width="41" customWidth="1"/>
    <col min="3" max="3" width="27.77734375" customWidth="1"/>
  </cols>
  <sheetData>
    <row r="1" spans="1:3" ht="17.399999999999999" customHeight="1" x14ac:dyDescent="0.35">
      <c r="A1" s="132" t="s">
        <v>395</v>
      </c>
    </row>
    <row r="2" spans="1:3" x14ac:dyDescent="0.3">
      <c r="A2" s="125" t="s">
        <v>396</v>
      </c>
    </row>
    <row r="3" spans="1:3" ht="15" customHeight="1" x14ac:dyDescent="0.3"/>
    <row r="4" spans="1:3" x14ac:dyDescent="0.3">
      <c r="A4" s="126" t="s">
        <v>397</v>
      </c>
      <c r="B4" s="197"/>
      <c r="C4" s="198"/>
    </row>
    <row r="5" spans="1:3" x14ac:dyDescent="0.3">
      <c r="A5" s="199" t="s">
        <v>398</v>
      </c>
      <c r="B5" s="200" t="s">
        <v>113</v>
      </c>
      <c r="C5" s="201" t="s">
        <v>399</v>
      </c>
    </row>
    <row r="6" spans="1:3" x14ac:dyDescent="0.3">
      <c r="A6" s="202">
        <v>122</v>
      </c>
      <c r="B6" s="203" t="s">
        <v>400</v>
      </c>
      <c r="C6" s="204">
        <v>19692574.489999998</v>
      </c>
    </row>
    <row r="7" spans="1:3" x14ac:dyDescent="0.3">
      <c r="A7" s="205">
        <v>361</v>
      </c>
      <c r="B7" s="206" t="s">
        <v>362</v>
      </c>
      <c r="C7" s="207">
        <v>1310479.1200000001</v>
      </c>
    </row>
    <row r="8" spans="1:3" x14ac:dyDescent="0.3">
      <c r="A8" s="202">
        <v>365</v>
      </c>
      <c r="B8" s="203" t="s">
        <v>361</v>
      </c>
      <c r="C8" s="204">
        <v>0</v>
      </c>
    </row>
    <row r="9" spans="1:3" x14ac:dyDescent="0.3">
      <c r="A9" s="205">
        <v>362</v>
      </c>
      <c r="B9" s="206" t="s">
        <v>401</v>
      </c>
      <c r="C9" s="207">
        <v>0</v>
      </c>
    </row>
    <row r="10" spans="1:3" x14ac:dyDescent="0.3">
      <c r="A10" s="202">
        <v>367</v>
      </c>
      <c r="B10" s="203" t="s">
        <v>402</v>
      </c>
      <c r="C10" s="204">
        <v>449</v>
      </c>
    </row>
    <row r="11" spans="1:3" x14ac:dyDescent="0.3">
      <c r="A11" s="202">
        <v>306</v>
      </c>
      <c r="B11" s="203" t="s">
        <v>333</v>
      </c>
      <c r="C11" s="204">
        <v>1378216.56</v>
      </c>
    </row>
    <row r="12" spans="1:3" ht="15" customHeight="1" x14ac:dyDescent="0.3">
      <c r="A12" s="208" t="s">
        <v>403</v>
      </c>
      <c r="B12" s="209"/>
      <c r="C12" s="210">
        <v>22381719.170000002</v>
      </c>
    </row>
    <row r="13" spans="1:3" ht="15" customHeight="1" x14ac:dyDescent="0.3"/>
    <row r="14" spans="1:3" x14ac:dyDescent="0.3">
      <c r="A14" s="211" t="s">
        <v>404</v>
      </c>
      <c r="B14" s="197"/>
      <c r="C14" s="198"/>
    </row>
    <row r="15" spans="1:3" x14ac:dyDescent="0.3">
      <c r="A15" s="199" t="s">
        <v>398</v>
      </c>
      <c r="B15" s="200" t="s">
        <v>113</v>
      </c>
      <c r="C15" s="201" t="s">
        <v>399</v>
      </c>
    </row>
    <row r="16" spans="1:3" x14ac:dyDescent="0.3">
      <c r="A16" s="202">
        <v>361</v>
      </c>
      <c r="B16" s="203" t="s">
        <v>362</v>
      </c>
      <c r="C16" s="204">
        <v>60152617.82</v>
      </c>
    </row>
    <row r="17" spans="1:3" x14ac:dyDescent="0.3">
      <c r="A17" s="205">
        <v>365</v>
      </c>
      <c r="B17" s="206" t="s">
        <v>361</v>
      </c>
      <c r="C17" s="207">
        <v>13078681.800000001</v>
      </c>
    </row>
    <row r="18" spans="1:3" x14ac:dyDescent="0.3">
      <c r="A18" s="202">
        <v>366</v>
      </c>
      <c r="B18" s="203" t="s">
        <v>405</v>
      </c>
      <c r="C18" s="204">
        <v>1607916.09</v>
      </c>
    </row>
    <row r="19" spans="1:3" x14ac:dyDescent="0.3">
      <c r="A19" s="205">
        <v>367</v>
      </c>
      <c r="B19" s="206" t="s">
        <v>402</v>
      </c>
      <c r="C19" s="207">
        <v>401625.72</v>
      </c>
    </row>
    <row r="20" spans="1:3" ht="15" customHeight="1" x14ac:dyDescent="0.3">
      <c r="A20" s="208" t="s">
        <v>406</v>
      </c>
      <c r="B20" s="209"/>
      <c r="C20" s="210">
        <v>75240841.430000007</v>
      </c>
    </row>
    <row r="21" spans="1:3" ht="15" customHeight="1" x14ac:dyDescent="0.3"/>
    <row r="22" spans="1:3" ht="15" customHeight="1" x14ac:dyDescent="0.3">
      <c r="A22" s="212" t="s">
        <v>407</v>
      </c>
      <c r="B22" s="213"/>
      <c r="C22" s="214">
        <v>97622560.599999994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"/>
  <sheetViews>
    <sheetView workbookViewId="0"/>
  </sheetViews>
  <sheetFormatPr defaultRowHeight="14.4" x14ac:dyDescent="0.3"/>
  <cols>
    <col min="1" max="1" width="63" customWidth="1"/>
    <col min="2" max="2" width="27.77734375" customWidth="1"/>
    <col min="3" max="3" width="24.109375" customWidth="1"/>
  </cols>
  <sheetData>
    <row r="1" spans="1:3" ht="17.399999999999999" customHeight="1" x14ac:dyDescent="0.35">
      <c r="A1" s="132" t="s">
        <v>408</v>
      </c>
    </row>
    <row r="2" spans="1:3" ht="30" customHeight="1" x14ac:dyDescent="0.3">
      <c r="A2" s="215" t="s">
        <v>409</v>
      </c>
    </row>
    <row r="3" spans="1:3" ht="15" customHeight="1" x14ac:dyDescent="0.3"/>
    <row r="4" spans="1:3" ht="34.049999999999997" customHeight="1" x14ac:dyDescent="0.3">
      <c r="A4" s="216" t="s">
        <v>113</v>
      </c>
      <c r="B4" s="217" t="s">
        <v>410</v>
      </c>
      <c r="C4" s="218" t="s">
        <v>280</v>
      </c>
    </row>
    <row r="5" spans="1:3" ht="28.8" customHeight="1" x14ac:dyDescent="0.3">
      <c r="A5" s="219" t="s">
        <v>411</v>
      </c>
      <c r="B5" s="220">
        <v>56180196.909999996</v>
      </c>
      <c r="C5" s="221">
        <v>57360901.890000001</v>
      </c>
    </row>
    <row r="6" spans="1:3" ht="28.8" customHeight="1" x14ac:dyDescent="0.3">
      <c r="A6" s="222" t="s">
        <v>412</v>
      </c>
      <c r="B6" s="223" t="s">
        <v>413</v>
      </c>
      <c r="C6" s="224">
        <v>0</v>
      </c>
    </row>
    <row r="7" spans="1:3" ht="28.8" customHeight="1" x14ac:dyDescent="0.3">
      <c r="A7" s="219" t="s">
        <v>414</v>
      </c>
      <c r="B7" s="225" t="s">
        <v>413</v>
      </c>
      <c r="C7" s="221">
        <v>0</v>
      </c>
    </row>
    <row r="8" spans="1:3" ht="28.8" customHeight="1" x14ac:dyDescent="0.3">
      <c r="A8" s="226" t="s">
        <v>415</v>
      </c>
      <c r="B8" s="227" t="s">
        <v>413</v>
      </c>
      <c r="C8" s="228">
        <v>57360901.890000001</v>
      </c>
    </row>
    <row r="9" spans="1:3" x14ac:dyDescent="0.3">
      <c r="A9" s="222" t="s">
        <v>416</v>
      </c>
      <c r="B9" s="223" t="s">
        <v>413</v>
      </c>
      <c r="C9" s="224">
        <v>80257424.159999996</v>
      </c>
    </row>
    <row r="10" spans="1:3" ht="15" customHeight="1" x14ac:dyDescent="0.3">
      <c r="A10" s="229" t="s">
        <v>272</v>
      </c>
      <c r="B10" s="230" t="s">
        <v>417</v>
      </c>
      <c r="C10" s="231">
        <v>0.7147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3"/>
  <sheetViews>
    <sheetView workbookViewId="0"/>
  </sheetViews>
  <sheetFormatPr defaultRowHeight="14.4" x14ac:dyDescent="0.3"/>
  <cols>
    <col min="1" max="1" width="54.6640625" customWidth="1"/>
    <col min="2" max="2" width="79.6640625" customWidth="1"/>
    <col min="3" max="3" width="24.109375" customWidth="1"/>
  </cols>
  <sheetData>
    <row r="1" spans="1:3" ht="15.6" customHeight="1" x14ac:dyDescent="0.3">
      <c r="A1" s="232" t="s">
        <v>418</v>
      </c>
      <c r="B1" s="233"/>
      <c r="C1" s="234"/>
    </row>
    <row r="2" spans="1:3" ht="15.6" customHeight="1" x14ac:dyDescent="0.3">
      <c r="A2" s="235"/>
      <c r="B2" s="236"/>
      <c r="C2" s="236"/>
    </row>
    <row r="3" spans="1:3" ht="30" customHeight="1" x14ac:dyDescent="0.3">
      <c r="A3" s="237" t="s">
        <v>419</v>
      </c>
      <c r="B3" s="238" t="s">
        <v>4</v>
      </c>
      <c r="C3" s="239" t="s">
        <v>420</v>
      </c>
    </row>
    <row r="4" spans="1:3" x14ac:dyDescent="0.3">
      <c r="A4" s="240" t="s">
        <v>421</v>
      </c>
      <c r="B4" s="241" t="s">
        <v>422</v>
      </c>
      <c r="C4" s="242">
        <v>46754637.600000001</v>
      </c>
    </row>
    <row r="5" spans="1:3" ht="34.049999999999997" customHeight="1" x14ac:dyDescent="0.3">
      <c r="A5" s="240" t="s">
        <v>421</v>
      </c>
      <c r="B5" s="241" t="s">
        <v>423</v>
      </c>
      <c r="C5" s="242">
        <v>0</v>
      </c>
    </row>
    <row r="6" spans="1:3" x14ac:dyDescent="0.3">
      <c r="A6" s="240" t="s">
        <v>421</v>
      </c>
      <c r="B6" s="241" t="s">
        <v>424</v>
      </c>
      <c r="C6" s="242">
        <v>0</v>
      </c>
    </row>
    <row r="7" spans="1:3" x14ac:dyDescent="0.3">
      <c r="A7" s="240" t="s">
        <v>425</v>
      </c>
      <c r="B7" s="241" t="s">
        <v>426</v>
      </c>
      <c r="C7" s="242">
        <v>8596722.4800000004</v>
      </c>
    </row>
    <row r="8" spans="1:3" x14ac:dyDescent="0.3">
      <c r="A8" s="240" t="s">
        <v>425</v>
      </c>
      <c r="B8" s="241" t="s">
        <v>427</v>
      </c>
      <c r="C8" s="242">
        <v>0</v>
      </c>
    </row>
    <row r="9" spans="1:3" x14ac:dyDescent="0.3">
      <c r="A9" s="240" t="s">
        <v>425</v>
      </c>
      <c r="B9" s="241" t="s">
        <v>428</v>
      </c>
      <c r="C9" s="242">
        <v>0</v>
      </c>
    </row>
    <row r="10" spans="1:3" x14ac:dyDescent="0.3">
      <c r="A10" s="240" t="s">
        <v>425</v>
      </c>
      <c r="B10" s="241" t="s">
        <v>429</v>
      </c>
      <c r="C10" s="242">
        <v>0</v>
      </c>
    </row>
    <row r="11" spans="1:3" x14ac:dyDescent="0.3">
      <c r="A11" s="240" t="s">
        <v>430</v>
      </c>
      <c r="B11" s="241" t="s">
        <v>431</v>
      </c>
      <c r="C11" s="242">
        <v>1607916.09</v>
      </c>
    </row>
    <row r="12" spans="1:3" x14ac:dyDescent="0.3">
      <c r="A12" s="240" t="s">
        <v>432</v>
      </c>
      <c r="B12" s="241" t="s">
        <v>433</v>
      </c>
      <c r="C12" s="242">
        <v>401625.72</v>
      </c>
    </row>
    <row r="13" spans="1:3" ht="15" customHeight="1" x14ac:dyDescent="0.3">
      <c r="A13" s="243" t="s">
        <v>434</v>
      </c>
      <c r="B13" s="244"/>
      <c r="C13" s="245">
        <v>57360901.890000001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1"/>
  <sheetViews>
    <sheetView workbookViewId="0">
      <selection activeCell="B9" sqref="B9"/>
    </sheetView>
  </sheetViews>
  <sheetFormatPr defaultRowHeight="14.4" x14ac:dyDescent="0.3"/>
  <cols>
    <col min="1" max="1" width="79.6640625" customWidth="1"/>
    <col min="2" max="2" width="27.77734375" customWidth="1"/>
    <col min="3" max="3" width="24.109375" customWidth="1"/>
  </cols>
  <sheetData>
    <row r="1" spans="1:3" ht="15.6" customHeight="1" x14ac:dyDescent="0.3">
      <c r="A1" s="246" t="s">
        <v>435</v>
      </c>
      <c r="B1" s="247"/>
      <c r="C1" s="248"/>
    </row>
    <row r="2" spans="1:3" ht="15.6" customHeight="1" x14ac:dyDescent="0.3">
      <c r="A2" s="249" t="s">
        <v>436</v>
      </c>
      <c r="B2" s="203"/>
      <c r="C2" s="250"/>
    </row>
    <row r="3" spans="1:3" ht="30" customHeight="1" x14ac:dyDescent="0.3">
      <c r="A3" s="251" t="s">
        <v>113</v>
      </c>
      <c r="B3" s="252" t="s">
        <v>437</v>
      </c>
      <c r="C3" s="253" t="s">
        <v>280</v>
      </c>
    </row>
    <row r="4" spans="1:3" x14ac:dyDescent="0.3">
      <c r="A4" s="254" t="s">
        <v>438</v>
      </c>
      <c r="B4" s="255">
        <v>0</v>
      </c>
      <c r="C4" s="256">
        <v>4248422.71</v>
      </c>
    </row>
    <row r="5" spans="1:3" ht="34.049999999999997" customHeight="1" x14ac:dyDescent="0.3">
      <c r="A5" s="254" t="s">
        <v>439</v>
      </c>
      <c r="B5" s="257" t="s">
        <v>413</v>
      </c>
      <c r="C5" s="256">
        <v>0</v>
      </c>
    </row>
    <row r="6" spans="1:3" x14ac:dyDescent="0.3">
      <c r="A6" s="254" t="s">
        <v>440</v>
      </c>
      <c r="B6" s="257" t="s">
        <v>413</v>
      </c>
      <c r="C6" s="256">
        <v>0</v>
      </c>
    </row>
    <row r="7" spans="1:3" x14ac:dyDescent="0.3">
      <c r="A7" s="254" t="s">
        <v>441</v>
      </c>
      <c r="B7" s="257" t="s">
        <v>413</v>
      </c>
      <c r="C7" s="256">
        <v>4248422.71</v>
      </c>
    </row>
    <row r="8" spans="1:3" x14ac:dyDescent="0.3">
      <c r="A8" s="254" t="s">
        <v>416</v>
      </c>
      <c r="B8" s="257" t="s">
        <v>413</v>
      </c>
      <c r="C8" s="256">
        <v>80257424.159999996</v>
      </c>
    </row>
    <row r="9" spans="1:3" ht="15" customHeight="1" x14ac:dyDescent="0.3">
      <c r="A9" s="258" t="s">
        <v>272</v>
      </c>
      <c r="B9" s="259">
        <v>0</v>
      </c>
      <c r="C9" s="260">
        <v>5.2900000000000003E-2</v>
      </c>
    </row>
    <row r="11" spans="1:3" x14ac:dyDescent="0.3">
      <c r="B11" s="261" t="s">
        <v>442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5"/>
  <sheetViews>
    <sheetView workbookViewId="0"/>
  </sheetViews>
  <sheetFormatPr defaultRowHeight="14.4" x14ac:dyDescent="0.3"/>
  <cols>
    <col min="1" max="1" width="79.6640625" customWidth="1"/>
    <col min="2" max="2" width="24.109375" customWidth="1"/>
    <col min="3" max="3" width="20.33203125" customWidth="1"/>
    <col min="4" max="4" width="17.5546875" customWidth="1"/>
  </cols>
  <sheetData>
    <row r="1" spans="1:4" ht="22.05" customHeight="1" x14ac:dyDescent="0.3">
      <c r="A1" s="262" t="s">
        <v>443</v>
      </c>
      <c r="B1" s="197"/>
      <c r="C1" s="197"/>
      <c r="D1" s="198"/>
    </row>
    <row r="2" spans="1:4" ht="15.6" customHeight="1" x14ac:dyDescent="0.3">
      <c r="A2" s="263" t="s">
        <v>113</v>
      </c>
      <c r="B2" s="264" t="s">
        <v>444</v>
      </c>
      <c r="C2" s="264" t="s">
        <v>445</v>
      </c>
      <c r="D2" s="265" t="s">
        <v>446</v>
      </c>
    </row>
    <row r="3" spans="1:4" ht="30" customHeight="1" x14ac:dyDescent="0.3">
      <c r="A3" s="266" t="s">
        <v>447</v>
      </c>
      <c r="B3" s="267">
        <v>11637614.439999999</v>
      </c>
      <c r="C3" s="267">
        <v>4481959.32</v>
      </c>
      <c r="D3" s="268">
        <v>0.19259999999999999</v>
      </c>
    </row>
    <row r="4" spans="1:4" ht="15" customHeight="1" x14ac:dyDescent="0.3">
      <c r="A4" s="269" t="s">
        <v>448</v>
      </c>
      <c r="B4" s="270">
        <v>3491284.33</v>
      </c>
      <c r="C4" s="270">
        <v>10073996.83</v>
      </c>
      <c r="D4" s="271">
        <v>0.43280000000000002</v>
      </c>
    </row>
    <row r="5" spans="1:4" ht="34.049999999999997" customHeight="1" x14ac:dyDescent="0.3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RowHeight="14.4" x14ac:dyDescent="0.3"/>
  <sheetData>
    <row r="1" spans="1:1" x14ac:dyDescent="0.3">
      <c r="A1" t="s">
        <v>449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56"/>
  <sheetViews>
    <sheetView workbookViewId="0"/>
  </sheetViews>
  <sheetFormatPr defaultRowHeight="14.4" x14ac:dyDescent="0.3"/>
  <cols>
    <col min="1" max="1" width="30" customWidth="1"/>
    <col min="2" max="2" width="38" customWidth="1"/>
    <col min="3" max="3" width="42" customWidth="1"/>
    <col min="4" max="4" width="38" customWidth="1"/>
  </cols>
  <sheetData>
    <row r="1" spans="1:4" ht="28.05" customHeight="1" x14ac:dyDescent="0.3">
      <c r="A1" s="279" t="s">
        <v>450</v>
      </c>
      <c r="B1" s="277"/>
      <c r="C1" s="277"/>
      <c r="D1" s="277"/>
    </row>
    <row r="2" spans="1:4" ht="18" customHeight="1" x14ac:dyDescent="0.3">
      <c r="A2" s="281" t="s">
        <v>451</v>
      </c>
      <c r="B2" s="277"/>
      <c r="C2" s="277"/>
      <c r="D2" s="277"/>
    </row>
    <row r="3" spans="1:4" ht="19.95" customHeight="1" x14ac:dyDescent="0.3">
      <c r="A3" s="272" t="s">
        <v>452</v>
      </c>
      <c r="B3" s="272" t="s">
        <v>280</v>
      </c>
      <c r="C3" s="272" t="s">
        <v>113</v>
      </c>
      <c r="D3" s="272" t="s">
        <v>453</v>
      </c>
    </row>
    <row r="4" spans="1:4" ht="18" customHeight="1" x14ac:dyDescent="0.3">
      <c r="A4" s="280" t="s">
        <v>454</v>
      </c>
      <c r="B4" s="277"/>
      <c r="C4" s="277"/>
      <c r="D4" s="277"/>
    </row>
    <row r="5" spans="1:4" ht="16.05" customHeight="1" x14ac:dyDescent="0.3">
      <c r="A5" s="273" t="s">
        <v>455</v>
      </c>
      <c r="B5" s="274"/>
      <c r="C5" s="275" t="s">
        <v>456</v>
      </c>
      <c r="D5" s="275" t="s">
        <v>457</v>
      </c>
    </row>
    <row r="6" spans="1:4" ht="16.05" customHeight="1" x14ac:dyDescent="0.3">
      <c r="A6" s="273" t="s">
        <v>458</v>
      </c>
      <c r="B6" s="274"/>
      <c r="C6" s="275" t="s">
        <v>459</v>
      </c>
      <c r="D6" s="275" t="s">
        <v>460</v>
      </c>
    </row>
    <row r="7" spans="1:4" ht="16.05" customHeight="1" x14ac:dyDescent="0.3">
      <c r="A7" s="273" t="s">
        <v>461</v>
      </c>
      <c r="B7" s="274"/>
      <c r="C7" s="275" t="s">
        <v>462</v>
      </c>
      <c r="D7" s="275" t="s">
        <v>463</v>
      </c>
    </row>
    <row r="8" spans="1:4" ht="16.05" customHeight="1" x14ac:dyDescent="0.3">
      <c r="A8" s="273" t="s">
        <v>464</v>
      </c>
      <c r="B8" s="274"/>
      <c r="C8" s="275" t="s">
        <v>465</v>
      </c>
      <c r="D8" s="275" t="s">
        <v>466</v>
      </c>
    </row>
    <row r="9" spans="1:4" ht="18" customHeight="1" x14ac:dyDescent="0.3">
      <c r="A9" s="280" t="s">
        <v>467</v>
      </c>
      <c r="B9" s="277"/>
      <c r="C9" s="277"/>
      <c r="D9" s="277"/>
    </row>
    <row r="10" spans="1:4" ht="16.05" customHeight="1" x14ac:dyDescent="0.3">
      <c r="A10" s="273" t="s">
        <v>468</v>
      </c>
      <c r="B10" s="274"/>
      <c r="C10" s="275" t="s">
        <v>469</v>
      </c>
      <c r="D10" s="275" t="s">
        <v>470</v>
      </c>
    </row>
    <row r="11" spans="1:4" ht="16.05" customHeight="1" x14ac:dyDescent="0.3">
      <c r="A11" s="273" t="s">
        <v>471</v>
      </c>
      <c r="B11" s="274"/>
      <c r="C11" s="275" t="s">
        <v>472</v>
      </c>
      <c r="D11" s="275" t="s">
        <v>473</v>
      </c>
    </row>
    <row r="12" spans="1:4" ht="18" customHeight="1" x14ac:dyDescent="0.3">
      <c r="A12" s="280" t="s">
        <v>474</v>
      </c>
      <c r="B12" s="277"/>
      <c r="C12" s="277"/>
      <c r="D12" s="277"/>
    </row>
    <row r="13" spans="1:4" ht="16.05" customHeight="1" x14ac:dyDescent="0.3">
      <c r="A13" s="273" t="s">
        <v>475</v>
      </c>
      <c r="B13" s="274"/>
      <c r="C13" s="275" t="s">
        <v>476</v>
      </c>
      <c r="D13" s="275" t="s">
        <v>477</v>
      </c>
    </row>
    <row r="14" spans="1:4" ht="16.05" customHeight="1" x14ac:dyDescent="0.3">
      <c r="A14" s="273" t="s">
        <v>478</v>
      </c>
      <c r="B14" s="274"/>
      <c r="C14" s="275" t="s">
        <v>479</v>
      </c>
      <c r="D14" s="275" t="s">
        <v>480</v>
      </c>
    </row>
    <row r="15" spans="1:4" ht="16.05" customHeight="1" x14ac:dyDescent="0.3">
      <c r="A15" s="273" t="s">
        <v>481</v>
      </c>
      <c r="B15" s="274"/>
      <c r="C15" s="275" t="s">
        <v>482</v>
      </c>
      <c r="D15" s="275" t="s">
        <v>483</v>
      </c>
    </row>
    <row r="16" spans="1:4" ht="18" customHeight="1" x14ac:dyDescent="0.3">
      <c r="A16" s="280" t="s">
        <v>484</v>
      </c>
      <c r="B16" s="277"/>
      <c r="C16" s="277"/>
      <c r="D16" s="277"/>
    </row>
    <row r="17" spans="1:4" ht="16.05" customHeight="1" x14ac:dyDescent="0.3">
      <c r="A17" s="273" t="s">
        <v>485</v>
      </c>
      <c r="B17" s="274"/>
      <c r="C17" s="275" t="s">
        <v>486</v>
      </c>
      <c r="D17" s="275" t="s">
        <v>487</v>
      </c>
    </row>
    <row r="18" spans="1:4" ht="16.05" customHeight="1" x14ac:dyDescent="0.3">
      <c r="A18" s="273" t="s">
        <v>488</v>
      </c>
      <c r="B18" s="274"/>
      <c r="C18" s="275" t="s">
        <v>489</v>
      </c>
      <c r="D18" s="275" t="s">
        <v>490</v>
      </c>
    </row>
    <row r="19" spans="1:4" ht="16.05" customHeight="1" x14ac:dyDescent="0.3">
      <c r="A19" s="273" t="s">
        <v>491</v>
      </c>
      <c r="B19" s="274"/>
      <c r="C19" s="275" t="s">
        <v>492</v>
      </c>
      <c r="D19" s="275" t="s">
        <v>493</v>
      </c>
    </row>
    <row r="20" spans="1:4" ht="16.05" customHeight="1" x14ac:dyDescent="0.3">
      <c r="A20" s="273" t="s">
        <v>494</v>
      </c>
      <c r="B20" s="274"/>
      <c r="C20" s="275" t="s">
        <v>495</v>
      </c>
      <c r="D20" s="275" t="s">
        <v>496</v>
      </c>
    </row>
    <row r="21" spans="1:4" ht="16.05" customHeight="1" x14ac:dyDescent="0.3">
      <c r="A21" s="273" t="s">
        <v>497</v>
      </c>
      <c r="B21" s="274"/>
      <c r="C21" s="275" t="s">
        <v>498</v>
      </c>
      <c r="D21" s="275" t="s">
        <v>499</v>
      </c>
    </row>
    <row r="22" spans="1:4" ht="16.05" customHeight="1" x14ac:dyDescent="0.3">
      <c r="A22" s="273" t="s">
        <v>500</v>
      </c>
      <c r="B22" s="274"/>
      <c r="C22" s="275" t="s">
        <v>501</v>
      </c>
      <c r="D22" s="275" t="s">
        <v>502</v>
      </c>
    </row>
    <row r="23" spans="1:4" ht="16.05" customHeight="1" x14ac:dyDescent="0.3">
      <c r="A23" s="273" t="s">
        <v>503</v>
      </c>
      <c r="B23" s="274"/>
      <c r="C23" s="275" t="s">
        <v>504</v>
      </c>
      <c r="D23" s="275" t="s">
        <v>505</v>
      </c>
    </row>
    <row r="24" spans="1:4" ht="16.05" customHeight="1" x14ac:dyDescent="0.3">
      <c r="A24" s="273" t="s">
        <v>506</v>
      </c>
      <c r="B24" s="274"/>
      <c r="C24" s="275" t="s">
        <v>507</v>
      </c>
      <c r="D24" s="275" t="s">
        <v>508</v>
      </c>
    </row>
    <row r="25" spans="1:4" ht="18" customHeight="1" x14ac:dyDescent="0.3">
      <c r="A25" s="280" t="s">
        <v>509</v>
      </c>
      <c r="B25" s="277"/>
      <c r="C25" s="277"/>
      <c r="D25" s="277"/>
    </row>
    <row r="26" spans="1:4" ht="16.05" customHeight="1" x14ac:dyDescent="0.3">
      <c r="A26" s="273" t="s">
        <v>510</v>
      </c>
      <c r="B26" s="274"/>
      <c r="C26" s="275" t="s">
        <v>511</v>
      </c>
      <c r="D26" s="275" t="s">
        <v>512</v>
      </c>
    </row>
    <row r="27" spans="1:4" ht="16.05" customHeight="1" x14ac:dyDescent="0.3">
      <c r="A27" s="273" t="s">
        <v>513</v>
      </c>
      <c r="B27" s="274"/>
      <c r="C27" s="275" t="s">
        <v>514</v>
      </c>
      <c r="D27" s="275" t="s">
        <v>515</v>
      </c>
    </row>
    <row r="28" spans="1:4" ht="16.05" customHeight="1" x14ac:dyDescent="0.3">
      <c r="A28" s="273" t="s">
        <v>516</v>
      </c>
      <c r="B28" s="274"/>
      <c r="C28" s="275" t="s">
        <v>517</v>
      </c>
      <c r="D28" s="275" t="s">
        <v>518</v>
      </c>
    </row>
    <row r="29" spans="1:4" ht="16.05" customHeight="1" x14ac:dyDescent="0.3">
      <c r="A29" s="273" t="s">
        <v>519</v>
      </c>
      <c r="B29" s="274"/>
      <c r="C29" s="275" t="s">
        <v>520</v>
      </c>
      <c r="D29" s="275" t="s">
        <v>521</v>
      </c>
    </row>
    <row r="30" spans="1:4" ht="16.05" customHeight="1" x14ac:dyDescent="0.3">
      <c r="A30" s="273" t="s">
        <v>522</v>
      </c>
      <c r="B30" s="274"/>
      <c r="C30" s="275" t="s">
        <v>523</v>
      </c>
      <c r="D30" s="275" t="s">
        <v>524</v>
      </c>
    </row>
    <row r="31" spans="1:4" ht="18" customHeight="1" x14ac:dyDescent="0.3">
      <c r="A31" s="280" t="s">
        <v>525</v>
      </c>
      <c r="B31" s="277"/>
      <c r="C31" s="277"/>
      <c r="D31" s="277"/>
    </row>
    <row r="32" spans="1:4" ht="16.05" customHeight="1" x14ac:dyDescent="0.3">
      <c r="A32" s="273" t="s">
        <v>526</v>
      </c>
      <c r="B32" s="274"/>
      <c r="C32" s="275" t="s">
        <v>527</v>
      </c>
      <c r="D32" s="275" t="s">
        <v>528</v>
      </c>
    </row>
    <row r="33" spans="1:4" ht="18" customHeight="1" x14ac:dyDescent="0.3">
      <c r="A33" s="280" t="s">
        <v>529</v>
      </c>
      <c r="B33" s="277"/>
      <c r="C33" s="277"/>
      <c r="D33" s="277"/>
    </row>
    <row r="34" spans="1:4" ht="16.05" customHeight="1" x14ac:dyDescent="0.3">
      <c r="A34" s="273" t="s">
        <v>530</v>
      </c>
      <c r="B34" s="274"/>
      <c r="C34" s="275" t="s">
        <v>531</v>
      </c>
      <c r="D34" s="275" t="s">
        <v>532</v>
      </c>
    </row>
    <row r="35" spans="1:4" ht="16.05" customHeight="1" x14ac:dyDescent="0.3">
      <c r="A35" s="273" t="s">
        <v>533</v>
      </c>
      <c r="B35" s="274"/>
      <c r="C35" s="275" t="s">
        <v>534</v>
      </c>
      <c r="D35" s="275" t="s">
        <v>532</v>
      </c>
    </row>
    <row r="36" spans="1:4" ht="16.05" customHeight="1" x14ac:dyDescent="0.3">
      <c r="A36" s="273" t="s">
        <v>535</v>
      </c>
      <c r="B36" s="274"/>
      <c r="C36" s="275" t="s">
        <v>536</v>
      </c>
      <c r="D36" s="275" t="s">
        <v>537</v>
      </c>
    </row>
    <row r="37" spans="1:4" ht="16.05" customHeight="1" x14ac:dyDescent="0.3">
      <c r="A37" s="273" t="s">
        <v>538</v>
      </c>
      <c r="B37" s="274"/>
      <c r="C37" s="275" t="s">
        <v>539</v>
      </c>
      <c r="D37" s="275" t="s">
        <v>540</v>
      </c>
    </row>
    <row r="38" spans="1:4" ht="16.05" customHeight="1" x14ac:dyDescent="0.3">
      <c r="A38" s="273" t="s">
        <v>541</v>
      </c>
      <c r="B38" s="274"/>
      <c r="C38" s="275" t="s">
        <v>542</v>
      </c>
      <c r="D38" s="275" t="s">
        <v>521</v>
      </c>
    </row>
    <row r="39" spans="1:4" ht="18" customHeight="1" x14ac:dyDescent="0.3">
      <c r="A39" s="280" t="s">
        <v>543</v>
      </c>
      <c r="B39" s="277"/>
      <c r="C39" s="277"/>
      <c r="D39" s="277"/>
    </row>
    <row r="40" spans="1:4" ht="16.05" customHeight="1" x14ac:dyDescent="0.3">
      <c r="A40" s="273" t="s">
        <v>544</v>
      </c>
      <c r="B40" s="274"/>
      <c r="C40" s="275" t="s">
        <v>545</v>
      </c>
      <c r="D40" s="275" t="s">
        <v>546</v>
      </c>
    </row>
    <row r="41" spans="1:4" ht="16.05" customHeight="1" x14ac:dyDescent="0.3">
      <c r="A41" s="273" t="s">
        <v>547</v>
      </c>
      <c r="B41" s="274"/>
      <c r="C41" s="275" t="s">
        <v>548</v>
      </c>
      <c r="D41" s="275" t="s">
        <v>549</v>
      </c>
    </row>
    <row r="42" spans="1:4" ht="16.05" customHeight="1" x14ac:dyDescent="0.3">
      <c r="A42" s="273" t="s">
        <v>550</v>
      </c>
      <c r="B42" s="274"/>
      <c r="C42" s="275" t="s">
        <v>551</v>
      </c>
      <c r="D42" s="275" t="s">
        <v>552</v>
      </c>
    </row>
    <row r="43" spans="1:4" ht="18" customHeight="1" x14ac:dyDescent="0.3">
      <c r="A43" s="280" t="s">
        <v>553</v>
      </c>
      <c r="B43" s="277"/>
      <c r="C43" s="277"/>
      <c r="D43" s="277"/>
    </row>
    <row r="44" spans="1:4" ht="16.05" customHeight="1" x14ac:dyDescent="0.3">
      <c r="A44" s="273" t="s">
        <v>554</v>
      </c>
      <c r="B44" s="274"/>
      <c r="C44" s="275" t="s">
        <v>555</v>
      </c>
      <c r="D44" s="275" t="s">
        <v>556</v>
      </c>
    </row>
    <row r="45" spans="1:4" ht="16.05" customHeight="1" x14ac:dyDescent="0.3">
      <c r="A45" s="273" t="s">
        <v>557</v>
      </c>
      <c r="B45" s="274"/>
      <c r="C45" s="275" t="s">
        <v>558</v>
      </c>
      <c r="D45" s="275" t="s">
        <v>556</v>
      </c>
    </row>
    <row r="46" spans="1:4" ht="18" customHeight="1" x14ac:dyDescent="0.3">
      <c r="A46" s="280" t="s">
        <v>559</v>
      </c>
      <c r="B46" s="277"/>
      <c r="C46" s="277"/>
      <c r="D46" s="277"/>
    </row>
    <row r="47" spans="1:4" ht="16.05" customHeight="1" x14ac:dyDescent="0.3">
      <c r="A47" s="273" t="s">
        <v>560</v>
      </c>
      <c r="B47" s="274"/>
      <c r="C47" s="275" t="s">
        <v>561</v>
      </c>
      <c r="D47" s="275" t="s">
        <v>562</v>
      </c>
    </row>
    <row r="48" spans="1:4" ht="16.05" customHeight="1" x14ac:dyDescent="0.3">
      <c r="A48" s="273" t="s">
        <v>563</v>
      </c>
      <c r="B48" s="274"/>
      <c r="C48" s="275" t="s">
        <v>564</v>
      </c>
      <c r="D48" s="275" t="s">
        <v>565</v>
      </c>
    </row>
    <row r="49" spans="1:4" ht="18" customHeight="1" x14ac:dyDescent="0.3">
      <c r="A49" s="280" t="s">
        <v>566</v>
      </c>
      <c r="B49" s="277"/>
      <c r="C49" s="277"/>
      <c r="D49" s="277"/>
    </row>
    <row r="50" spans="1:4" ht="16.05" customHeight="1" x14ac:dyDescent="0.3">
      <c r="A50" s="273" t="s">
        <v>567</v>
      </c>
      <c r="B50" s="274"/>
      <c r="C50" s="275" t="s">
        <v>568</v>
      </c>
      <c r="D50" s="275" t="s">
        <v>569</v>
      </c>
    </row>
    <row r="51" spans="1:4" ht="16.05" customHeight="1" x14ac:dyDescent="0.3">
      <c r="A51" s="273" t="s">
        <v>570</v>
      </c>
      <c r="B51" s="274"/>
      <c r="C51" s="275" t="s">
        <v>571</v>
      </c>
      <c r="D51" s="275" t="s">
        <v>572</v>
      </c>
    </row>
    <row r="52" spans="1:4" ht="16.05" customHeight="1" x14ac:dyDescent="0.3">
      <c r="A52" s="273" t="s">
        <v>573</v>
      </c>
      <c r="B52" s="274"/>
      <c r="C52" s="275" t="s">
        <v>574</v>
      </c>
      <c r="D52" s="275" t="s">
        <v>575</v>
      </c>
    </row>
    <row r="53" spans="1:4" ht="16.05" customHeight="1" x14ac:dyDescent="0.3">
      <c r="A53" s="273" t="s">
        <v>576</v>
      </c>
      <c r="B53" s="274"/>
      <c r="C53" s="275" t="s">
        <v>577</v>
      </c>
      <c r="D53" s="275" t="s">
        <v>578</v>
      </c>
    </row>
    <row r="54" spans="1:4" ht="16.05" customHeight="1" x14ac:dyDescent="0.3">
      <c r="A54" s="273" t="s">
        <v>579</v>
      </c>
      <c r="B54" s="274"/>
      <c r="C54" s="275" t="s">
        <v>580</v>
      </c>
      <c r="D54" s="275" t="s">
        <v>581</v>
      </c>
    </row>
    <row r="55" spans="1:4" ht="18" customHeight="1" x14ac:dyDescent="0.3">
      <c r="A55" s="280" t="s">
        <v>582</v>
      </c>
      <c r="B55" s="277"/>
      <c r="C55" s="277"/>
      <c r="D55" s="277"/>
    </row>
    <row r="56" spans="1:4" ht="16.05" customHeight="1" x14ac:dyDescent="0.3">
      <c r="A56" s="273" t="s">
        <v>583</v>
      </c>
      <c r="B56" s="274"/>
      <c r="C56" s="275" t="s">
        <v>584</v>
      </c>
      <c r="D56" s="275"/>
    </row>
  </sheetData>
  <mergeCells count="14"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  <mergeCell ref="A1:D1"/>
    <mergeCell ref="A9:D9"/>
    <mergeCell ref="A31:D31"/>
    <mergeCell ref="A12:D12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Status</vt:lpstr>
      <vt:lpstr>Base de Cálculo para Repasse</vt:lpstr>
      <vt:lpstr>Resultado Orçamentário</vt:lpstr>
      <vt:lpstr>Receita Corrente Líquida</vt:lpstr>
      <vt:lpstr>Despesa com Pessoal</vt:lpstr>
      <vt:lpstr>Comportamento da Despesa com</vt:lpstr>
      <vt:lpstr>Dívida Consolidada e Mobiliá</vt:lpstr>
      <vt:lpstr>Balanço Orçamentário - Recei</vt:lpstr>
      <vt:lpstr>Balanço Orçamentário - Despe</vt:lpstr>
      <vt:lpstr>Efetividade na Arrecadação d</vt:lpstr>
      <vt:lpstr>Comparativo LOA x Balanço Or</vt:lpstr>
      <vt:lpstr>Apuração do Resultado Financ</vt:lpstr>
      <vt:lpstr>Evolução do Patrimônio Líqui</vt:lpstr>
      <vt:lpstr>Apuração do Fluxo de Caixa d</vt:lpstr>
      <vt:lpstr>Suficiência de Caixa</vt:lpstr>
      <vt:lpstr>Análise de Depósitos Restitu</vt:lpstr>
      <vt:lpstr>Base de Cálculo do Índice de</vt:lpstr>
      <vt:lpstr>Despesas com Ações e Serviço</vt:lpstr>
      <vt:lpstr>Base de Cálculo do Índice de1</vt:lpstr>
      <vt:lpstr>Despesas com Manutenção e De</vt:lpstr>
      <vt:lpstr>Recursos Destinados à Formaç</vt:lpstr>
      <vt:lpstr>Transferências de Recursos a</vt:lpstr>
      <vt:lpstr>Despesas por Subfunção — Edu</vt:lpstr>
      <vt:lpstr>Balanço Geral FUNDEB 70% — R</vt:lpstr>
      <vt:lpstr>Balanço Geral FUNDEB 70% — D</vt:lpstr>
      <vt:lpstr>FUNDEB 30% — Outras Despesas</vt:lpstr>
      <vt:lpstr>VAAT — Educação Infantil (50</vt:lpstr>
      <vt:lpstr>_dados_</vt:lpstr>
      <vt:lpstr>Dados Manuais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lopes</cp:lastModifiedBy>
  <dcterms:created xsi:type="dcterms:W3CDTF">2026-07-14T18:46:50Z</dcterms:created>
  <dcterms:modified xsi:type="dcterms:W3CDTF">2026-07-15T02:05:38Z</dcterms:modified>
</cp:coreProperties>
</file>