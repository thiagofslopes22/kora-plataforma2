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Comparativo LOA x Balanço Or" sheetId="11" state="visible" r:id="rId11"/>
    <sheet name="Apuração do Resultado Financ" sheetId="12" state="visible" r:id="rId12"/>
    <sheet name="Evolução do Patrimônio Líqui" sheetId="13" state="visible" r:id="rId13"/>
    <sheet name="Apuração do Fluxo de Caixa d" sheetId="14" state="visible" r:id="rId14"/>
    <sheet name="Suficiência de Caixa" sheetId="15" state="visible" r:id="rId15"/>
    <sheet name="Base de Cálculo do Índice de" sheetId="16" state="visible" r:id="rId16"/>
    <sheet name="Despesas com Ações e Serviço" sheetId="17" state="visible" r:id="rId17"/>
    <sheet name="Base de Cálculo do Índice de1" sheetId="18" state="visible" r:id="rId18"/>
    <sheet name="Despesas com Manutenção e De" sheetId="19" state="visible" r:id="rId19"/>
    <sheet name="Recursos Destinados à Formaç" sheetId="20" state="visible" r:id="rId20"/>
    <sheet name="Transferências de Recursos a" sheetId="21" state="visible" r:id="rId21"/>
    <sheet name="Despesas por Subfunção — Edu" sheetId="22" state="visible" r:id="rId22"/>
    <sheet name="Balanço Geral FUNDEB 70% — R" sheetId="23" state="visible" r:id="rId23"/>
    <sheet name="Balanço Geral FUNDEB 70% — D" sheetId="24" state="visible" r:id="rId24"/>
    <sheet name="VAAT — Educação Infantil (50" sheetId="25" state="visible" r:id="rId25"/>
    <sheet name="_dados_" sheetId="26" state="hidden" r:id="rId26"/>
    <sheet name="Dados Manua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8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center"/>
    </xf>
    <xf numFmtId="0" fontId="12" fillId="9" borderId="12" applyAlignment="1" pivotButton="0" quotePrefix="0" xfId="0">
      <alignment horizontal="center"/>
    </xf>
    <xf numFmtId="0" fontId="12" fillId="9" borderId="13" applyAlignment="1" pivotButton="0" quotePrefix="0" xfId="0">
      <alignment horizontal="center"/>
    </xf>
    <xf numFmtId="165" fontId="13" fillId="8" borderId="14" applyAlignment="1" pivotButton="0" quotePrefix="0" xfId="0">
      <alignment horizontal="right"/>
    </xf>
    <xf numFmtId="165" fontId="13" fillId="8" borderId="15" applyAlignment="1" pivotButton="0" quotePrefix="0" xfId="0">
      <alignment horizontal="right"/>
    </xf>
    <xf numFmtId="0" fontId="14" fillId="11" borderId="16" applyAlignment="1" pivotButton="0" quotePrefix="0" xfId="0">
      <alignment horizontal="left"/>
    </xf>
    <xf numFmtId="0" fontId="11" fillId="0" borderId="0" pivotButton="0" quotePrefix="0" xfId="0"/>
    <xf numFmtId="0" fontId="12" fillId="9" borderId="17" applyAlignment="1" pivotButton="0" quotePrefix="0" xfId="0">
      <alignment horizontal="left"/>
    </xf>
    <xf numFmtId="0" fontId="12" fillId="9" borderId="18" applyAlignment="1" pivotButton="0" quotePrefix="0" xfId="0">
      <alignment horizontal="left"/>
    </xf>
    <xf numFmtId="0" fontId="15" fillId="0" borderId="19" applyAlignment="1" pivotButton="0" quotePrefix="0" xfId="0">
      <alignment vertical="center" wrapText="1"/>
    </xf>
    <xf numFmtId="165" fontId="15" fillId="0" borderId="20" applyAlignment="1" pivotButton="0" quotePrefix="0" xfId="0">
      <alignment horizontal="right"/>
    </xf>
    <xf numFmtId="0" fontId="14" fillId="11" borderId="19" applyAlignment="1" pivotButton="0" quotePrefix="0" xfId="0">
      <alignment vertical="center" wrapText="1"/>
    </xf>
    <xf numFmtId="165" fontId="14" fillId="11" borderId="20" applyAlignment="1" pivotButton="0" quotePrefix="0" xfId="0">
      <alignment horizontal="right"/>
    </xf>
    <xf numFmtId="0" fontId="12" fillId="9" borderId="14" applyAlignment="1" pivotButton="0" quotePrefix="0" xfId="0">
      <alignment vertical="center" wrapText="1"/>
    </xf>
    <xf numFmtId="165" fontId="12" fillId="9" borderId="16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9" borderId="21" applyAlignment="1" pivotButton="0" quotePrefix="0" xfId="0">
      <alignment vertical="center" wrapText="1"/>
    </xf>
    <xf numFmtId="0" fontId="8" fillId="9" borderId="22" applyAlignment="1" pivotButton="0" quotePrefix="0" xfId="0">
      <alignment horizontal="center" vertical="center" wrapText="1"/>
    </xf>
    <xf numFmtId="0" fontId="20" fillId="8" borderId="23" applyAlignment="1" pivotButton="0" quotePrefix="0" xfId="0">
      <alignment vertical="center" wrapText="1"/>
    </xf>
    <xf numFmtId="166" fontId="18" fillId="8" borderId="24" applyAlignment="1" pivotButton="0" quotePrefix="0" xfId="0">
      <alignment horizontal="right"/>
    </xf>
    <xf numFmtId="0" fontId="18" fillId="8" borderId="23" applyAlignment="1" pivotButton="0" quotePrefix="0" xfId="0">
      <alignment vertical="center" wrapText="1"/>
    </xf>
    <xf numFmtId="0" fontId="8" fillId="9" borderId="23" applyAlignment="1" pivotButton="0" quotePrefix="0" xfId="0">
      <alignment vertical="center" wrapText="1"/>
    </xf>
    <xf numFmtId="166" fontId="8" fillId="9" borderId="24" applyAlignment="1" pivotButton="0" quotePrefix="0" xfId="0">
      <alignment horizontal="right"/>
    </xf>
    <xf numFmtId="164" fontId="8" fillId="9" borderId="23" applyAlignment="1" pivotButton="0" quotePrefix="0" xfId="0">
      <alignment horizontal="right"/>
    </xf>
    <xf numFmtId="166" fontId="8" fillId="9" borderId="24" applyAlignment="1" pivotButton="0" quotePrefix="0" xfId="0">
      <alignment vertical="center" wrapText="1"/>
    </xf>
    <xf numFmtId="0" fontId="8" fillId="9" borderId="25" applyAlignment="1" pivotButton="0" quotePrefix="0" xfId="0">
      <alignment vertical="center" wrapText="1"/>
    </xf>
    <xf numFmtId="167" fontId="18" fillId="8" borderId="24" applyAlignment="1" pivotButton="0" quotePrefix="0" xfId="0">
      <alignment horizontal="right"/>
    </xf>
    <xf numFmtId="0" fontId="12" fillId="9" borderId="26" applyAlignment="1" pivotButton="0" quotePrefix="0" xfId="0">
      <alignment horizontal="left" vertical="center"/>
    </xf>
    <xf numFmtId="0" fontId="12" fillId="9" borderId="26" applyAlignment="1" pivotButton="0" quotePrefix="0" xfId="0">
      <alignment vertical="center"/>
    </xf>
    <xf numFmtId="0" fontId="13" fillId="8" borderId="26" applyAlignment="1" pivotButton="0" quotePrefix="0" xfId="0">
      <alignment horizontal="left" vertical="center"/>
    </xf>
    <xf numFmtId="168" fontId="13" fillId="8" borderId="26" applyAlignment="1" pivotButton="0" quotePrefix="0" xfId="0">
      <alignment horizontal="right"/>
    </xf>
    <xf numFmtId="0" fontId="13" fillId="12" borderId="26" applyAlignment="1" pivotButton="0" quotePrefix="0" xfId="0">
      <alignment horizontal="left" vertical="center"/>
    </xf>
    <xf numFmtId="168" fontId="13" fillId="12" borderId="26" applyAlignment="1" pivotButton="0" quotePrefix="0" xfId="0">
      <alignment horizontal="right"/>
    </xf>
    <xf numFmtId="0" fontId="21" fillId="13" borderId="26" applyAlignment="1" pivotButton="0" quotePrefix="0" xfId="0">
      <alignment horizontal="left" vertical="center" wrapText="1"/>
    </xf>
    <xf numFmtId="168" fontId="21" fillId="13" borderId="26" applyAlignment="1" pivotButton="0" quotePrefix="0" xfId="0">
      <alignment horizontal="right"/>
    </xf>
    <xf numFmtId="0" fontId="21" fillId="13" borderId="26" applyAlignment="1" pivotButton="0" quotePrefix="0" xfId="0">
      <alignment horizontal="left" vertical="center"/>
    </xf>
    <xf numFmtId="167" fontId="21" fillId="13" borderId="26" applyAlignment="1" pivotButton="0" quotePrefix="0" xfId="0">
      <alignment horizontal="right"/>
    </xf>
    <xf numFmtId="0" fontId="12" fillId="9" borderId="27" applyAlignment="1" pivotButton="0" quotePrefix="0" xfId="0">
      <alignment horizontal="left" vertical="center"/>
    </xf>
    <xf numFmtId="0" fontId="12" fillId="9" borderId="27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21" fillId="13" borderId="27" applyAlignment="1" pivotButton="0" quotePrefix="0" xfId="0">
      <alignment horizontal="left" vertical="center" wrapText="1"/>
    </xf>
    <xf numFmtId="168" fontId="21" fillId="13" borderId="27" applyAlignment="1" pivotButton="0" quotePrefix="0" xfId="0">
      <alignment horizontal="right"/>
    </xf>
    <xf numFmtId="0" fontId="13" fillId="12" borderId="27" applyAlignment="1" pivotButton="0" quotePrefix="0" xfId="0">
      <alignment horizontal="left" vertical="center" wrapText="1"/>
    </xf>
    <xf numFmtId="168" fontId="13" fillId="12" borderId="27" applyAlignment="1" pivotButton="0" quotePrefix="0" xfId="0">
      <alignment horizontal="right"/>
    </xf>
    <xf numFmtId="0" fontId="13" fillId="8" borderId="27" applyAlignment="1" pivotButton="0" quotePrefix="0" xfId="0">
      <alignment horizontal="left" vertical="center" wrapText="1"/>
    </xf>
    <xf numFmtId="168" fontId="13" fillId="8" borderId="27" applyAlignment="1" pivotButton="0" quotePrefix="0" xfId="0">
      <alignment horizontal="right"/>
    </xf>
    <xf numFmtId="168" fontId="13" fillId="12" borderId="27" applyAlignment="1" pivotButton="0" quotePrefix="0" xfId="0">
      <alignment horizontal="left" vertical="center"/>
    </xf>
    <xf numFmtId="10" fontId="13" fillId="8" borderId="27" applyAlignment="1" pivotButton="0" quotePrefix="0" xfId="0">
      <alignment horizontal="right"/>
    </xf>
    <xf numFmtId="10" fontId="13" fillId="12" borderId="27" applyAlignment="1" pivotButton="0" quotePrefix="0" xfId="0">
      <alignment horizontal="right"/>
    </xf>
    <xf numFmtId="0" fontId="12" fillId="9" borderId="30" applyAlignment="1" pivotButton="0" quotePrefix="0" xfId="0">
      <alignment horizontal="left" vertical="center" wrapText="1"/>
    </xf>
    <xf numFmtId="0" fontId="12" fillId="9" borderId="31" applyAlignment="1" pivotButton="0" quotePrefix="0" xfId="0">
      <alignment horizontal="center" vertical="center" wrapText="1"/>
    </xf>
    <xf numFmtId="0" fontId="12" fillId="9" borderId="32" applyAlignment="1" pivotButton="0" quotePrefix="0" xfId="0">
      <alignment horizontal="center" vertical="center" wrapText="1"/>
    </xf>
    <xf numFmtId="0" fontId="15" fillId="8" borderId="33" applyAlignment="1" pivotButton="0" quotePrefix="0" xfId="0">
      <alignment horizontal="left" vertical="center" indent="1"/>
    </xf>
    <xf numFmtId="169" fontId="15" fillId="8" borderId="34" applyAlignment="1" pivotButton="0" quotePrefix="0" xfId="0">
      <alignment horizontal="right"/>
    </xf>
    <xf numFmtId="169" fontId="15" fillId="8" borderId="35" applyAlignment="1" pivotButton="0" quotePrefix="0" xfId="0">
      <alignment horizontal="right"/>
    </xf>
    <xf numFmtId="0" fontId="15" fillId="12" borderId="33" applyAlignment="1" pivotButton="0" quotePrefix="0" xfId="0">
      <alignment horizontal="left" vertical="center" indent="1"/>
    </xf>
    <xf numFmtId="169" fontId="15" fillId="12" borderId="34" applyAlignment="1" pivotButton="0" quotePrefix="0" xfId="0">
      <alignment horizontal="right"/>
    </xf>
    <xf numFmtId="169" fontId="15" fillId="12" borderId="35" applyAlignment="1" pivotButton="0" quotePrefix="0" xfId="0">
      <alignment horizontal="right"/>
    </xf>
    <xf numFmtId="0" fontId="22" fillId="14" borderId="33" applyAlignment="1" pivotButton="0" quotePrefix="0" xfId="0">
      <alignment horizontal="left" vertical="center" indent="1"/>
    </xf>
    <xf numFmtId="169" fontId="22" fillId="14" borderId="34" applyAlignment="1" pivotButton="0" quotePrefix="0" xfId="0">
      <alignment horizontal="right"/>
    </xf>
    <xf numFmtId="169" fontId="22" fillId="14" borderId="35" applyAlignment="1" pivotButton="0" quotePrefix="0" xfId="0">
      <alignment horizontal="right"/>
    </xf>
    <xf numFmtId="0" fontId="15" fillId="12" borderId="36" applyAlignment="1" pivotButton="0" quotePrefix="0" xfId="0">
      <alignment horizontal="left" vertical="center" indent="1"/>
    </xf>
    <xf numFmtId="169" fontId="15" fillId="12" borderId="37" applyAlignment="1" pivotButton="0" quotePrefix="0" xfId="0">
      <alignment horizontal="right"/>
    </xf>
    <xf numFmtId="169" fontId="15" fillId="12" borderId="38" applyAlignment="1" pivotButton="0" quotePrefix="0" xfId="0">
      <alignment horizontal="right"/>
    </xf>
    <xf numFmtId="0" fontId="22" fillId="13" borderId="30" applyAlignment="1" pivotButton="0" quotePrefix="0" xfId="0">
      <alignment horizontal="left" vertical="center" indent="1"/>
    </xf>
    <xf numFmtId="169" fontId="22" fillId="13" borderId="31" applyAlignment="1" pivotButton="0" quotePrefix="0" xfId="0">
      <alignment horizontal="right"/>
    </xf>
    <xf numFmtId="169" fontId="22" fillId="13" borderId="32" applyAlignment="1" pivotButton="0" quotePrefix="0" xfId="0">
      <alignment horizontal="right"/>
    </xf>
    <xf numFmtId="0" fontId="15" fillId="8" borderId="39" applyAlignment="1" pivotButton="0" quotePrefix="0" xfId="0">
      <alignment horizontal="left" vertical="center" indent="1"/>
    </xf>
    <xf numFmtId="169" fontId="15" fillId="8" borderId="40" applyAlignment="1" pivotButton="0" quotePrefix="0" xfId="0">
      <alignment horizontal="right"/>
    </xf>
    <xf numFmtId="169" fontId="15" fillId="8" borderId="41" applyAlignment="1" pivotButton="0" quotePrefix="0" xfId="0">
      <alignment horizontal="right"/>
    </xf>
    <xf numFmtId="0" fontId="15" fillId="12" borderId="42" applyAlignment="1" pivotButton="0" quotePrefix="0" xfId="0">
      <alignment horizontal="left" vertical="center" indent="1"/>
    </xf>
    <xf numFmtId="169" fontId="15" fillId="12" borderId="43" applyAlignment="1" pivotButton="0" quotePrefix="0" xfId="0">
      <alignment horizontal="right"/>
    </xf>
    <xf numFmtId="169" fontId="15" fillId="12" borderId="44" applyAlignment="1" pivotButton="0" quotePrefix="0" xfId="0">
      <alignment horizontal="right"/>
    </xf>
    <xf numFmtId="0" fontId="12" fillId="9" borderId="45" applyAlignment="1" pivotButton="0" quotePrefix="0" xfId="0">
      <alignment horizontal="left" vertical="center"/>
    </xf>
    <xf numFmtId="0" fontId="12" fillId="9" borderId="46" applyAlignment="1" pivotButton="0" quotePrefix="0" xfId="0">
      <alignment horizontal="center" vertical="center"/>
    </xf>
    <xf numFmtId="0" fontId="12" fillId="9" borderId="47" applyAlignment="1" pivotButton="0" quotePrefix="0" xfId="0">
      <alignment horizontal="center" vertical="center"/>
    </xf>
    <xf numFmtId="0" fontId="13" fillId="8" borderId="39" applyAlignment="1" pivotButton="0" quotePrefix="0" xfId="0">
      <alignment horizontal="left"/>
    </xf>
    <xf numFmtId="169" fontId="13" fillId="8" borderId="40" applyAlignment="1" pivotButton="0" quotePrefix="0" xfId="0">
      <alignment horizontal="right"/>
    </xf>
    <xf numFmtId="169" fontId="13" fillId="8" borderId="41" applyAlignment="1" pivotButton="0" quotePrefix="0" xfId="0">
      <alignment horizontal="right"/>
    </xf>
    <xf numFmtId="0" fontId="13" fillId="12" borderId="33" applyAlignment="1" pivotButton="0" quotePrefix="0" xfId="0">
      <alignment horizontal="left"/>
    </xf>
    <xf numFmtId="169" fontId="13" fillId="12" borderId="34" applyAlignment="1" pivotButton="0" quotePrefix="0" xfId="0">
      <alignment horizontal="right"/>
    </xf>
    <xf numFmtId="169" fontId="13" fillId="12" borderId="35" applyAlignment="1" pivotButton="0" quotePrefix="0" xfId="0">
      <alignment horizontal="right"/>
    </xf>
    <xf numFmtId="0" fontId="13" fillId="8" borderId="33" applyAlignment="1" pivotButton="0" quotePrefix="0" xfId="0">
      <alignment horizontal="left"/>
    </xf>
    <xf numFmtId="169" fontId="13" fillId="8" borderId="34" applyAlignment="1" pivotButton="0" quotePrefix="0" xfId="0">
      <alignment horizontal="right"/>
    </xf>
    <xf numFmtId="169" fontId="13" fillId="8" borderId="35" applyAlignment="1" pivotButton="0" quotePrefix="0" xfId="0">
      <alignment horizontal="right"/>
    </xf>
    <xf numFmtId="0" fontId="21" fillId="14" borderId="33" applyAlignment="1" pivotButton="0" quotePrefix="0" xfId="0">
      <alignment horizontal="left"/>
    </xf>
    <xf numFmtId="169" fontId="21" fillId="14" borderId="34" applyAlignment="1" pivotButton="0" quotePrefix="0" xfId="0">
      <alignment horizontal="right"/>
    </xf>
    <xf numFmtId="169" fontId="21" fillId="14" borderId="35" applyAlignment="1" pivotButton="0" quotePrefix="0" xfId="0">
      <alignment horizontal="right"/>
    </xf>
    <xf numFmtId="0" fontId="21" fillId="13" borderId="33" applyAlignment="1" pivotButton="0" quotePrefix="0" xfId="0">
      <alignment horizontal="left"/>
    </xf>
    <xf numFmtId="169" fontId="21" fillId="13" borderId="34" applyAlignment="1" pivotButton="0" quotePrefix="0" xfId="0">
      <alignment horizontal="right"/>
    </xf>
    <xf numFmtId="169" fontId="21" fillId="13" borderId="35" applyAlignment="1" pivotButton="0" quotePrefix="0" xfId="0">
      <alignment horizontal="right"/>
    </xf>
    <xf numFmtId="0" fontId="13" fillId="8" borderId="42" applyAlignment="1" pivotButton="0" quotePrefix="0" xfId="0">
      <alignment horizontal="left"/>
    </xf>
    <xf numFmtId="169" fontId="13" fillId="8" borderId="43" applyAlignment="1" pivotButton="0" quotePrefix="0" xfId="0">
      <alignment horizontal="right"/>
    </xf>
    <xf numFmtId="169" fontId="13" fillId="8" borderId="44" applyAlignment="1" pivotButton="0" quotePrefix="0" xfId="0">
      <alignment horizontal="right"/>
    </xf>
    <xf numFmtId="0" fontId="11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2" fillId="9" borderId="30" applyAlignment="1" pivotButton="0" quotePrefix="0" xfId="0">
      <alignment horizontal="center"/>
    </xf>
    <xf numFmtId="0" fontId="12" fillId="9" borderId="31" applyAlignment="1" pivotButton="0" quotePrefix="0" xfId="0">
      <alignment horizontal="center"/>
    </xf>
    <xf numFmtId="0" fontId="12" fillId="9" borderId="32" applyAlignment="1" pivotButton="0" quotePrefix="0" xfId="0">
      <alignment horizontal="center"/>
    </xf>
    <xf numFmtId="164" fontId="13" fillId="8" borderId="42" applyAlignment="1" pivotButton="0" quotePrefix="0" xfId="0">
      <alignment horizontal="right"/>
    </xf>
    <xf numFmtId="164" fontId="13" fillId="8" borderId="43" applyAlignment="1" pivotButton="0" quotePrefix="0" xfId="0">
      <alignment horizontal="right"/>
    </xf>
    <xf numFmtId="0" fontId="13" fillId="8" borderId="4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13" fillId="8" borderId="34" applyAlignment="1" pivotButton="0" quotePrefix="0" xfId="0">
      <alignment horizontal="right"/>
    </xf>
    <xf numFmtId="49" fontId="13" fillId="8" borderId="35" applyAlignment="1" pivotButton="0" quotePrefix="0" xfId="0">
      <alignment horizontal="left"/>
    </xf>
    <xf numFmtId="49" fontId="13" fillId="8" borderId="44" applyAlignment="1" pivotButton="0" quotePrefix="0" xfId="0">
      <alignment horizontal="left"/>
    </xf>
    <xf numFmtId="0" fontId="12" fillId="9" borderId="45" applyAlignment="1" pivotButton="0" quotePrefix="0" xfId="0">
      <alignment horizontal="left"/>
    </xf>
    <xf numFmtId="0" fontId="12" fillId="9" borderId="46" applyAlignment="1" pivotButton="0" quotePrefix="0" xfId="0">
      <alignment horizontal="center"/>
    </xf>
    <xf numFmtId="0" fontId="12" fillId="9" borderId="47" applyAlignment="1" pivotButton="0" quotePrefix="0" xfId="0">
      <alignment horizontal="center"/>
    </xf>
    <xf numFmtId="170" fontId="13" fillId="8" borderId="40" applyAlignment="1" pivotButton="0" quotePrefix="0" xfId="0">
      <alignment horizontal="right"/>
    </xf>
    <xf numFmtId="170" fontId="13" fillId="8" borderId="41" applyAlignment="1" pivotButton="0" quotePrefix="0" xfId="0">
      <alignment horizontal="right"/>
    </xf>
    <xf numFmtId="170" fontId="13" fillId="12" borderId="34" applyAlignment="1" pivotButton="0" quotePrefix="0" xfId="0">
      <alignment horizontal="right"/>
    </xf>
    <xf numFmtId="170" fontId="13" fillId="12" borderId="35" applyAlignment="1" pivotButton="0" quotePrefix="0" xfId="0">
      <alignment horizontal="right"/>
    </xf>
    <xf numFmtId="170" fontId="13" fillId="8" borderId="34" applyAlignment="1" pivotButton="0" quotePrefix="0" xfId="0">
      <alignment horizontal="right"/>
    </xf>
    <xf numFmtId="170" fontId="13" fillId="8" borderId="35" applyAlignment="1" pivotButton="0" quotePrefix="0" xfId="0">
      <alignment horizontal="right"/>
    </xf>
    <xf numFmtId="0" fontId="14" fillId="15" borderId="42" applyAlignment="1" pivotButton="0" quotePrefix="0" xfId="0">
      <alignment horizontal="left"/>
    </xf>
    <xf numFmtId="170" fontId="14" fillId="15" borderId="43" applyAlignment="1" pivotButton="0" quotePrefix="0" xfId="0">
      <alignment horizontal="right"/>
    </xf>
    <xf numFmtId="170" fontId="14" fillId="15" borderId="44" applyAlignment="1" pivotButton="0" quotePrefix="0" xfId="0">
      <alignment horizontal="right"/>
    </xf>
    <xf numFmtId="0" fontId="12" fillId="9" borderId="48" applyAlignment="1" pivotButton="0" quotePrefix="0" xfId="0">
      <alignment horizontal="center"/>
    </xf>
    <xf numFmtId="0" fontId="12" fillId="9" borderId="49" applyAlignment="1" pivotButton="0" quotePrefix="0" xfId="0">
      <alignment horizontal="center"/>
    </xf>
    <xf numFmtId="0" fontId="12" fillId="9" borderId="50" applyAlignment="1" pivotButton="0" quotePrefix="0" xfId="0">
      <alignment horizontal="center"/>
    </xf>
    <xf numFmtId="164" fontId="13" fillId="8" borderId="45" applyAlignment="1" pivotButton="0" quotePrefix="0" xfId="0">
      <alignment horizontal="right"/>
    </xf>
    <xf numFmtId="164" fontId="13" fillId="12" borderId="46" applyAlignment="1" pivotButton="0" quotePrefix="0" xfId="0">
      <alignment horizontal="right"/>
    </xf>
    <xf numFmtId="164" fontId="14" fillId="15" borderId="46" applyAlignment="1" pivotButton="0" quotePrefix="0" xfId="0">
      <alignment horizontal="right"/>
    </xf>
    <xf numFmtId="9" fontId="14" fillId="15" borderId="47" applyAlignment="1" pivotButton="0" quotePrefix="0" xfId="0">
      <alignment horizontal="right"/>
    </xf>
    <xf numFmtId="164" fontId="13" fillId="8" borderId="40" applyAlignment="1" pivotButton="0" quotePrefix="0" xfId="0">
      <alignment horizontal="right"/>
    </xf>
    <xf numFmtId="164" fontId="13" fillId="12" borderId="41" applyAlignment="1" pivotButton="0" quotePrefix="0" xfId="0">
      <alignment horizontal="right"/>
    </xf>
    <xf numFmtId="164" fontId="13" fillId="12" borderId="35" applyAlignment="1" pivotButton="0" quotePrefix="0" xfId="0">
      <alignment horizontal="right"/>
    </xf>
    <xf numFmtId="164" fontId="14" fillId="15" borderId="43" applyAlignment="1" pivotButton="0" quotePrefix="0" xfId="0">
      <alignment horizontal="right"/>
    </xf>
    <xf numFmtId="164" fontId="14" fillId="15" borderId="44" applyAlignment="1" pivotButton="0" quotePrefix="0" xfId="0">
      <alignment horizontal="right"/>
    </xf>
    <xf numFmtId="0" fontId="12" fillId="9" borderId="30" applyAlignment="1" pivotButton="0" quotePrefix="0" xfId="0">
      <alignment horizontal="left"/>
    </xf>
    <xf numFmtId="0" fontId="12" fillId="9" borderId="32" applyAlignment="1" pivotButton="0" quotePrefix="0" xfId="0">
      <alignment horizontal="right"/>
    </xf>
    <xf numFmtId="164" fontId="13" fillId="8" borderId="35" applyAlignment="1" pivotButton="0" quotePrefix="0" xfId="0">
      <alignment horizontal="right"/>
    </xf>
    <xf numFmtId="0" fontId="14" fillId="15" borderId="33" applyAlignment="1" pivotButton="0" quotePrefix="0" xfId="0">
      <alignment horizontal="left"/>
    </xf>
    <xf numFmtId="164" fontId="14" fillId="15" borderId="35" applyAlignment="1" pivotButton="0" quotePrefix="0" xfId="0">
      <alignment horizontal="right"/>
    </xf>
    <xf numFmtId="0" fontId="10" fillId="0" borderId="51" pivotButton="0" quotePrefix="0" xfId="0"/>
    <xf numFmtId="0" fontId="12" fillId="9" borderId="39" applyAlignment="1" pivotButton="0" quotePrefix="0" xfId="0">
      <alignment horizontal="left"/>
    </xf>
    <xf numFmtId="0" fontId="12" fillId="9" borderId="41" applyAlignment="1" pivotButton="0" quotePrefix="0" xfId="0">
      <alignment horizontal="right"/>
    </xf>
    <xf numFmtId="171" fontId="13" fillId="12" borderId="35" applyAlignment="1" pivotButton="0" quotePrefix="0" xfId="0">
      <alignment horizontal="right"/>
    </xf>
    <xf numFmtId="171" fontId="13" fillId="8" borderId="35" applyAlignment="1" pivotButton="0" quotePrefix="0" xfId="0">
      <alignment horizontal="right"/>
    </xf>
    <xf numFmtId="0" fontId="12" fillId="9" borderId="47" applyAlignment="1" pivotButton="0" quotePrefix="0" xfId="0">
      <alignment horizontal="right" vertical="center"/>
    </xf>
    <xf numFmtId="0" fontId="13" fillId="8" borderId="39" applyAlignment="1" pivotButton="0" quotePrefix="0" xfId="0">
      <alignment horizontal="left" vertical="center" wrapText="1"/>
    </xf>
    <xf numFmtId="164" fontId="13" fillId="8" borderId="41" applyAlignment="1" pivotButton="0" quotePrefix="0" xfId="0">
      <alignment horizontal="right"/>
    </xf>
    <xf numFmtId="0" fontId="13" fillId="12" borderId="33" applyAlignment="1" pivotButton="0" quotePrefix="0" xfId="0">
      <alignment horizontal="left" vertical="center" wrapText="1"/>
    </xf>
    <xf numFmtId="0" fontId="13" fillId="8" borderId="33" applyAlignment="1" pivotButton="0" quotePrefix="0" xfId="0">
      <alignment horizontal="left" vertical="center" wrapText="1"/>
    </xf>
    <xf numFmtId="0" fontId="14" fillId="15" borderId="33" applyAlignment="1" pivotButton="0" quotePrefix="0" xfId="0">
      <alignment horizontal="left" vertical="center" wrapText="1"/>
    </xf>
    <xf numFmtId="165" fontId="14" fillId="15" borderId="35" applyAlignment="1" pivotButton="0" quotePrefix="0" xfId="0">
      <alignment horizontal="right"/>
    </xf>
    <xf numFmtId="0" fontId="14" fillId="15" borderId="42" applyAlignment="1" pivotButton="0" quotePrefix="0" xfId="0">
      <alignment horizontal="left" vertical="center" wrapText="1"/>
    </xf>
    <xf numFmtId="10" fontId="14" fillId="15" borderId="44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13" fillId="8" borderId="33" applyAlignment="1" pivotButton="0" quotePrefix="0" xfId="0">
      <alignment horizontal="left" wrapText="1"/>
    </xf>
    <xf numFmtId="0" fontId="13" fillId="12" borderId="33" applyAlignment="1" pivotButton="0" quotePrefix="0" xfId="0">
      <alignment horizontal="left" wrapText="1"/>
    </xf>
    <xf numFmtId="0" fontId="14" fillId="15" borderId="33" applyAlignment="1" pivotButton="0" quotePrefix="0" xfId="0">
      <alignment horizontal="left" wrapText="1"/>
    </xf>
    <xf numFmtId="0" fontId="14" fillId="15" borderId="42" applyAlignment="1" pivotButton="0" quotePrefix="0" xfId="0">
      <alignment horizontal="left" wrapText="1"/>
    </xf>
    <xf numFmtId="0" fontId="12" fillId="9" borderId="52" applyAlignment="1" pivotButton="0" quotePrefix="0" xfId="0">
      <alignment horizontal="left"/>
    </xf>
    <xf numFmtId="0" fontId="12" fillId="9" borderId="50" applyAlignment="1" pivotButton="0" quotePrefix="0" xfId="0">
      <alignment horizontal="right"/>
    </xf>
    <xf numFmtId="0" fontId="13" fillId="8" borderId="53" applyAlignment="1" pivotButton="0" quotePrefix="0" xfId="0">
      <alignment horizontal="left"/>
    </xf>
    <xf numFmtId="0" fontId="13" fillId="12" borderId="54" applyAlignment="1" pivotButton="0" quotePrefix="0" xfId="0">
      <alignment horizontal="left"/>
    </xf>
    <xf numFmtId="0" fontId="13" fillId="12" borderId="53" applyAlignment="1" pivotButton="0" quotePrefix="0" xfId="0">
      <alignment horizontal="left"/>
    </xf>
    <xf numFmtId="0" fontId="14" fillId="15" borderId="53" applyAlignment="1" pivotButton="0" quotePrefix="0" xfId="0">
      <alignment horizontal="left"/>
    </xf>
    <xf numFmtId="0" fontId="14" fillId="15" borderId="55" applyAlignment="1" pivotButton="0" quotePrefix="0" xfId="0">
      <alignment horizontal="left"/>
    </xf>
    <xf numFmtId="164" fontId="14" fillId="15" borderId="38" applyAlignment="1" pivotButton="0" quotePrefix="0" xfId="0">
      <alignment horizontal="right"/>
    </xf>
    <xf numFmtId="0" fontId="14" fillId="15" borderId="56" applyAlignment="1" pivotButton="0" quotePrefix="0" xfId="0">
      <alignment horizontal="left"/>
    </xf>
    <xf numFmtId="0" fontId="10" fillId="0" borderId="57" pivotButton="0" quotePrefix="0" xfId="0"/>
    <xf numFmtId="0" fontId="10" fillId="0" borderId="58" pivotButton="0" quotePrefix="0" xfId="0"/>
    <xf numFmtId="0" fontId="8" fillId="9" borderId="33" applyAlignment="1" pivotButton="0" quotePrefix="0" xfId="0">
      <alignment horizontal="center"/>
    </xf>
    <xf numFmtId="0" fontId="8" fillId="9" borderId="34" applyAlignment="1" pivotButton="0" quotePrefix="0" xfId="0">
      <alignment horizontal="left"/>
    </xf>
    <xf numFmtId="0" fontId="8" fillId="9" borderId="35" applyAlignment="1" pivotButton="0" quotePrefix="0" xfId="0">
      <alignment horizontal="right"/>
    </xf>
    <xf numFmtId="0" fontId="18" fillId="0" borderId="33" applyAlignment="1" pivotButton="0" quotePrefix="0" xfId="0">
      <alignment horizontal="center"/>
    </xf>
    <xf numFmtId="0" fontId="10" fillId="0" borderId="34" pivotButton="0" quotePrefix="0" xfId="0"/>
    <xf numFmtId="164" fontId="10" fillId="0" borderId="35" applyAlignment="1" pivotButton="0" quotePrefix="0" xfId="0">
      <alignment horizontal="right"/>
    </xf>
    <xf numFmtId="0" fontId="18" fillId="12" borderId="33" applyAlignment="1" pivotButton="0" quotePrefix="0" xfId="0">
      <alignment horizontal="center"/>
    </xf>
    <xf numFmtId="0" fontId="10" fillId="12" borderId="34" pivotButton="0" quotePrefix="0" xfId="0"/>
    <xf numFmtId="164" fontId="10" fillId="12" borderId="35" applyAlignment="1" pivotButton="0" quotePrefix="0" xfId="0">
      <alignment horizontal="right"/>
    </xf>
    <xf numFmtId="0" fontId="24" fillId="15" borderId="42" applyAlignment="1" pivotButton="0" quotePrefix="0" xfId="0">
      <alignment horizontal="left"/>
    </xf>
    <xf numFmtId="0" fontId="10" fillId="0" borderId="59" pivotButton="0" quotePrefix="0" xfId="0"/>
    <xf numFmtId="164" fontId="24" fillId="15" borderId="44" applyAlignment="1" pivotButton="0" quotePrefix="0" xfId="0">
      <alignment horizontal="right"/>
    </xf>
    <xf numFmtId="0" fontId="8" fillId="9" borderId="30" applyAlignment="1" pivotButton="0" quotePrefix="0" xfId="0">
      <alignment horizontal="left"/>
    </xf>
    <xf numFmtId="0" fontId="8" fillId="9" borderId="45" applyAlignment="1" pivotButton="0" quotePrefix="0" xfId="0">
      <alignment horizontal="left"/>
    </xf>
    <xf numFmtId="0" fontId="10" fillId="0" borderId="60" pivotButton="0" quotePrefix="0" xfId="0"/>
    <xf numFmtId="164" fontId="8" fillId="9" borderId="47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5" fillId="9" borderId="30" applyAlignment="1" pivotButton="0" quotePrefix="0" xfId="0">
      <alignment horizontal="left" wrapText="1"/>
    </xf>
    <xf numFmtId="0" fontId="25" fillId="9" borderId="31" applyAlignment="1" pivotButton="0" quotePrefix="0" xfId="0">
      <alignment horizontal="center" vertical="center" wrapText="1"/>
    </xf>
    <xf numFmtId="0" fontId="25" fillId="9" borderId="32" applyAlignment="1" pivotButton="0" quotePrefix="0" xfId="0">
      <alignment horizontal="center" vertical="center" wrapText="1"/>
    </xf>
    <xf numFmtId="0" fontId="26" fillId="0" borderId="33" applyAlignment="1" pivotButton="0" quotePrefix="0" xfId="0">
      <alignment wrapText="1"/>
    </xf>
    <xf numFmtId="164" fontId="26" fillId="0" borderId="34" applyAlignment="1" pivotButton="0" quotePrefix="0" xfId="0">
      <alignment horizontal="right"/>
    </xf>
    <xf numFmtId="164" fontId="26" fillId="0" borderId="35" applyAlignment="1" pivotButton="0" quotePrefix="0" xfId="0">
      <alignment horizontal="right"/>
    </xf>
    <xf numFmtId="0" fontId="26" fillId="12" borderId="33" applyAlignment="1" pivotButton="0" quotePrefix="0" xfId="0">
      <alignment wrapText="1"/>
    </xf>
    <xf numFmtId="0" fontId="26" fillId="12" borderId="34" applyAlignment="1" pivotButton="0" quotePrefix="0" xfId="0">
      <alignment horizontal="center" wrapText="1"/>
    </xf>
    <xf numFmtId="164" fontId="26" fillId="12" borderId="35" applyAlignment="1" pivotButton="0" quotePrefix="0" xfId="0">
      <alignment horizontal="right"/>
    </xf>
    <xf numFmtId="0" fontId="26" fillId="0" borderId="34" applyAlignment="1" pivotButton="0" quotePrefix="0" xfId="0">
      <alignment horizontal="center" wrapText="1"/>
    </xf>
    <xf numFmtId="0" fontId="27" fillId="15" borderId="33" applyAlignment="1" pivotButton="0" quotePrefix="0" xfId="0">
      <alignment horizontal="left" wrapText="1"/>
    </xf>
    <xf numFmtId="0" fontId="27" fillId="15" borderId="34" applyAlignment="1" pivotButton="0" quotePrefix="0" xfId="0">
      <alignment horizontal="center" wrapText="1"/>
    </xf>
    <xf numFmtId="164" fontId="27" fillId="15" borderId="35" applyAlignment="1" pivotButton="0" quotePrefix="0" xfId="0">
      <alignment horizontal="right"/>
    </xf>
    <xf numFmtId="0" fontId="25" fillId="9" borderId="42" applyAlignment="1" pivotButton="0" quotePrefix="0" xfId="0">
      <alignment horizontal="left" wrapText="1"/>
    </xf>
    <xf numFmtId="0" fontId="25" fillId="9" borderId="43" applyAlignment="1" pivotButton="0" quotePrefix="0" xfId="0">
      <alignment horizontal="center" wrapText="1"/>
    </xf>
    <xf numFmtId="10" fontId="25" fillId="9" borderId="44" applyAlignment="1" pivotButton="0" quotePrefix="0" xfId="0">
      <alignment horizontal="right"/>
    </xf>
    <xf numFmtId="0" fontId="28" fillId="9" borderId="48" applyAlignment="1" pivotButton="0" quotePrefix="0" xfId="0">
      <alignment horizontal="center" vertical="center"/>
    </xf>
    <xf numFmtId="0" fontId="10" fillId="0" borderId="61" pivotButton="0" quotePrefix="0" xfId="0"/>
    <xf numFmtId="0" fontId="10" fillId="0" borderId="62" pivotButton="0" quotePrefix="0" xfId="0"/>
    <xf numFmtId="0" fontId="29" fillId="0" borderId="63" applyAlignment="1" pivotButton="0" quotePrefix="0" xfId="0">
      <alignment horizontal="left" vertical="center"/>
    </xf>
    <xf numFmtId="0" fontId="10" fillId="0" borderId="63" pivotButton="0" quotePrefix="0" xfId="0"/>
    <xf numFmtId="0" fontId="8" fillId="9" borderId="39" applyAlignment="1" pivotButton="0" quotePrefix="0" xfId="0">
      <alignment horizontal="left" vertical="center" wrapText="1"/>
    </xf>
    <xf numFmtId="0" fontId="8" fillId="9" borderId="40" applyAlignment="1" pivotButton="0" quotePrefix="0" xfId="0">
      <alignment horizontal="left" vertical="center" wrapText="1"/>
    </xf>
    <xf numFmtId="0" fontId="8" fillId="9" borderId="41" applyAlignment="1" pivotButton="0" quotePrefix="0" xfId="0">
      <alignment horizontal="right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172" fontId="10" fillId="0" borderId="35" applyAlignment="1" pivotButton="0" quotePrefix="0" xfId="0">
      <alignment horizontal="right"/>
    </xf>
    <xf numFmtId="0" fontId="24" fillId="15" borderId="42" applyAlignment="1" pivotButton="0" quotePrefix="0" xfId="0">
      <alignment vertical="center" wrapText="1"/>
    </xf>
    <xf numFmtId="0" fontId="30" fillId="15" borderId="43" applyAlignment="1" pivotButton="0" quotePrefix="0" xfId="0">
      <alignment vertical="center" wrapText="1"/>
    </xf>
    <xf numFmtId="172" fontId="24" fillId="15" borderId="44" applyAlignment="1" pivotButton="0" quotePrefix="0" xfId="0">
      <alignment horizontal="right"/>
    </xf>
    <xf numFmtId="0" fontId="31" fillId="9" borderId="30" applyAlignment="1" pivotButton="0" quotePrefix="0" xfId="0">
      <alignment horizontal="center"/>
    </xf>
    <xf numFmtId="0" fontId="32" fillId="9" borderId="33" applyAlignment="1" pivotButton="0" quotePrefix="0" xfId="0">
      <alignment horizontal="left"/>
    </xf>
    <xf numFmtId="0" fontId="32" fillId="9" borderId="34" applyAlignment="1" pivotButton="0" quotePrefix="0" xfId="0">
      <alignment horizontal="center"/>
    </xf>
    <xf numFmtId="0" fontId="32" fillId="9" borderId="35" applyAlignment="1" pivotButton="0" quotePrefix="0" xfId="0">
      <alignment horizontal="center"/>
    </xf>
    <xf numFmtId="0" fontId="33" fillId="0" borderId="33" applyAlignment="1" pivotButton="0" quotePrefix="0" xfId="0">
      <alignment horizontal="left"/>
    </xf>
    <xf numFmtId="173" fontId="33" fillId="0" borderId="34" applyAlignment="1" pivotButton="0" quotePrefix="0" xfId="0">
      <alignment horizontal="right"/>
    </xf>
    <xf numFmtId="10" fontId="33" fillId="0" borderId="35" applyAlignment="1" pivotButton="0" quotePrefix="0" xfId="0">
      <alignment horizontal="right"/>
    </xf>
    <xf numFmtId="0" fontId="33" fillId="0" borderId="42" applyAlignment="1" pivotButton="0" quotePrefix="0" xfId="0">
      <alignment horizontal="left"/>
    </xf>
    <xf numFmtId="173" fontId="33" fillId="0" borderId="43" applyAlignment="1" pivotButton="0" quotePrefix="0" xfId="0">
      <alignment horizontal="right"/>
    </xf>
    <xf numFmtId="10" fontId="33" fillId="0" borderId="44" applyAlignment="1" pivotButton="0" quotePrefix="0" xfId="0">
      <alignment horizontal="right"/>
    </xf>
    <xf numFmtId="0" fontId="34" fillId="16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24/26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52.75%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ANX_10_ATUAL, BO_FUNDEB</t>
        </is>
      </c>
      <c r="E24" s="6" t="inlineStr">
        <is>
          <t>✓ Gerado</t>
        </is>
      </c>
      <c r="F24" s="11" t="inlineStr">
        <is>
          <t>Aplicação MDE: 26.12%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71.47%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VAAT Infantil: 56.19%  ✓  |  VAAT Capital: 32.44%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26388066.81</v>
      </c>
    </row>
    <row r="6" ht="19.95" customHeight="1">
      <c r="A6" s="19" t="inlineStr">
        <is>
          <t>IPTU</t>
        </is>
      </c>
      <c r="B6" s="20" t="n">
        <v>854710.28</v>
      </c>
    </row>
    <row r="7" ht="19.95" customHeight="1">
      <c r="A7" s="19" t="inlineStr">
        <is>
          <t>ISS</t>
        </is>
      </c>
      <c r="B7" s="20" t="n">
        <v>7999236.56</v>
      </c>
    </row>
    <row r="8" ht="19.95" customHeight="1">
      <c r="A8" s="19" t="inlineStr">
        <is>
          <t>ITBI</t>
        </is>
      </c>
      <c r="B8" s="20" t="n">
        <v>572520.96</v>
      </c>
    </row>
    <row r="9" ht="19.95" customHeight="1">
      <c r="A9" s="19" t="inlineStr">
        <is>
          <t>IRRF</t>
        </is>
      </c>
      <c r="B9" s="20" t="n">
        <v>8096668.23</v>
      </c>
    </row>
    <row r="10" ht="19.95" customHeight="1">
      <c r="A10" s="19" t="inlineStr">
        <is>
          <t>TAXAS</t>
        </is>
      </c>
      <c r="B10" s="20" t="n">
        <v>383197.59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8481733.189999999</v>
      </c>
    </row>
    <row r="15" ht="19.95" customHeight="1">
      <c r="A15" s="21" t="inlineStr">
        <is>
          <t>2 - TRANSFERIDOS PELO ESTADO</t>
        </is>
      </c>
      <c r="B15" s="22" t="n">
        <v>14773542.77</v>
      </c>
    </row>
    <row r="16" ht="19.95" customHeight="1">
      <c r="A16" s="19" t="inlineStr">
        <is>
          <t>Cota-Parte IPVA</t>
        </is>
      </c>
      <c r="B16" s="20" t="n">
        <v>3469079.76</v>
      </c>
    </row>
    <row r="17" ht="19.95" customHeight="1">
      <c r="A17" s="19" t="inlineStr">
        <is>
          <t>Cota-Parte ICMS</t>
        </is>
      </c>
      <c r="B17" s="20" t="n">
        <v>11304463.01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45568820.13</v>
      </c>
    </row>
    <row r="20" ht="19.95" customHeight="1">
      <c r="A20" s="19" t="inlineStr">
        <is>
          <t>CIDE</t>
        </is>
      </c>
      <c r="B20" s="20" t="n">
        <v>7439.49</v>
      </c>
    </row>
    <row r="21" ht="19.95" customHeight="1">
      <c r="A21" s="19" t="inlineStr">
        <is>
          <t>Cota-Parte ITR</t>
        </is>
      </c>
      <c r="B21" s="20" t="n">
        <v>17606.4</v>
      </c>
    </row>
    <row r="22" ht="19.95" customHeight="1">
      <c r="A22" s="19" t="inlineStr">
        <is>
          <t>Cota-Parte FPM</t>
        </is>
      </c>
      <c r="B22" s="20" t="n">
        <v>45472569.23</v>
      </c>
    </row>
    <row r="23" ht="19.95" customHeight="1">
      <c r="A23" s="19" t="inlineStr">
        <is>
          <t>Cota-Parte IPI</t>
        </is>
      </c>
      <c r="B23" s="20" t="n">
        <v>71205.00999999999</v>
      </c>
    </row>
    <row r="24" ht="19.95" customHeight="1">
      <c r="A24" s="21" t="inlineStr">
        <is>
          <t>4 - TOTAL CONTRIBUIÇÃO DO MUN.P/ FORMAÇÃO DO FUNDEB</t>
        </is>
      </c>
      <c r="B24" s="22" t="n">
        <v>11248841.03</v>
      </c>
    </row>
    <row r="25" ht="19.95" customHeight="1">
      <c r="A25" s="23" t="inlineStr">
        <is>
          <t>Contribuição do Mun.p/ Formação do FUNDEB</t>
        </is>
      </c>
      <c r="B25" s="24" t="n">
        <v>11248841.03</v>
      </c>
    </row>
    <row r="26" ht="19.95" customHeight="1">
      <c r="A26" s="25" t="inlineStr">
        <is>
          <t>Total (Base Cálculo Repasse)</t>
        </is>
      </c>
      <c r="B26" s="26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27" t="inlineStr">
        <is>
          <t>Quadro 3 – Resultado Orçamentário</t>
        </is>
      </c>
    </row>
    <row r="2" ht="30" customHeight="1">
      <c r="A2" s="28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29" t="inlineStr">
        <is>
          <t>RECEITA REALIZADA</t>
        </is>
      </c>
      <c r="B4" s="30" t="inlineStr">
        <is>
          <t>DESPESA EMPENHADA</t>
        </is>
      </c>
      <c r="C4" s="31" t="inlineStr">
        <is>
          <t>SITUAÇÃO</t>
        </is>
      </c>
    </row>
    <row r="5" ht="19.95" customHeight="1">
      <c r="A5" s="32" t="n">
        <v>240903283.17</v>
      </c>
      <c r="B5" s="33" t="n">
        <v>229432882.36</v>
      </c>
      <c r="C5" s="34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35" t="inlineStr">
        <is>
          <t>Quadro 4 – Receita Corrente Líquida</t>
        </is>
      </c>
    </row>
    <row r="2" ht="30" customHeight="1">
      <c r="A2" s="28" t="inlineStr">
        <is>
          <t>Este quadro demonstra a receita corrente líquida do Município.</t>
        </is>
      </c>
    </row>
    <row r="3" ht="15" customHeight="1"/>
    <row r="4" ht="19.95" customHeight="1">
      <c r="A4" s="36" t="inlineStr">
        <is>
          <t>DESCRIÇÃO</t>
        </is>
      </c>
      <c r="B4" s="37" t="inlineStr">
        <is>
          <t>TCE/MA</t>
        </is>
      </c>
    </row>
    <row r="5" ht="19.95" customHeight="1">
      <c r="A5" s="38" t="inlineStr">
        <is>
          <t>Receita Tributária</t>
        </is>
      </c>
      <c r="B5" s="39" t="n">
        <v>23406363.22</v>
      </c>
    </row>
    <row r="6" ht="19.95" customHeight="1">
      <c r="A6" s="38" t="inlineStr">
        <is>
          <t>Receita de Contribuições</t>
        </is>
      </c>
      <c r="B6" s="39" t="n">
        <v>9656678.960000001</v>
      </c>
    </row>
    <row r="7" ht="19.95" customHeight="1">
      <c r="A7" s="38" t="inlineStr">
        <is>
          <t>Receita Patrimonial</t>
        </is>
      </c>
      <c r="B7" s="39" t="n">
        <v>2040547.96</v>
      </c>
    </row>
    <row r="8" ht="19.95" customHeight="1">
      <c r="A8" s="38" t="inlineStr">
        <is>
          <t>Receita Agropecuária</t>
        </is>
      </c>
      <c r="B8" s="39" t="n">
        <v>0</v>
      </c>
    </row>
    <row r="9" ht="19.95" customHeight="1">
      <c r="A9" s="38" t="inlineStr">
        <is>
          <t>Receita Industrial</t>
        </is>
      </c>
      <c r="B9" s="39" t="n">
        <v>0</v>
      </c>
    </row>
    <row r="10" ht="19.95" customHeight="1">
      <c r="A10" s="38" t="inlineStr">
        <is>
          <t>Receita de Serviços</t>
        </is>
      </c>
      <c r="B10" s="39" t="n">
        <v>0</v>
      </c>
    </row>
    <row r="11" ht="19.95" customHeight="1">
      <c r="A11" s="38" t="inlineStr">
        <is>
          <t>Transferências Correntes</t>
        </is>
      </c>
      <c r="B11" s="39" t="n">
        <v>201826511</v>
      </c>
    </row>
    <row r="12" ht="19.95" customHeight="1">
      <c r="A12" s="38" t="inlineStr">
        <is>
          <t>Outras Receitas Correntes</t>
        </is>
      </c>
      <c r="B12" s="39" t="n">
        <v>643019.37</v>
      </c>
    </row>
    <row r="13" ht="19.95" customHeight="1">
      <c r="A13" s="40" t="inlineStr">
        <is>
          <t>RECEITA CORRENTE</t>
        </is>
      </c>
      <c r="B13" s="41" t="n">
        <v>237573120.51</v>
      </c>
    </row>
    <row r="14" ht="19.95" customHeight="1">
      <c r="A14" s="38" t="inlineStr">
        <is>
          <t>(-) Contrib. do Servidor para o Plano de Previdência</t>
        </is>
      </c>
      <c r="B14" s="39" t="n">
        <v>0</v>
      </c>
    </row>
    <row r="15" ht="19.95" customHeight="1">
      <c r="A15" s="38" t="inlineStr">
        <is>
          <t>(-) Compensação Financ. entre Regimes Previdenciária</t>
        </is>
      </c>
      <c r="B15" s="39" t="n">
        <v>0</v>
      </c>
    </row>
    <row r="16" ht="19.95" customHeight="1">
      <c r="A16" s="38" t="inlineStr">
        <is>
          <t>(-) Dedução de Receita para Formação do FUNDEB</t>
        </is>
      </c>
      <c r="B16" s="39" t="n">
        <v>13643871.2</v>
      </c>
    </row>
    <row r="17" ht="19.95" customHeight="1">
      <c r="A17" s="38" t="inlineStr">
        <is>
          <t>(-) Transferências Obrigatórias da União relativas às Emendas Individuais (art. 166-A, §1°, da CF) (V)</t>
        </is>
      </c>
      <c r="B17" s="39" t="n">
        <v>0</v>
      </c>
    </row>
    <row r="18" ht="19.95" customHeight="1">
      <c r="A18" s="38" t="inlineStr">
        <is>
          <t>(-) Transferências Obrigatórias da União relativas às Emendas de Bancada (art. 166, § 16, da CF) (VI)</t>
        </is>
      </c>
      <c r="B18" s="39" t="n">
        <v>0</v>
      </c>
    </row>
    <row r="19" ht="19.95" customHeight="1">
      <c r="A19" s="38" t="inlineStr">
        <is>
          <t>(-) Rendimentos de Aplicações de Recursos Previdenciários</t>
        </is>
      </c>
      <c r="B19" s="39" t="n">
        <v>0</v>
      </c>
    </row>
    <row r="20" ht="19.95" customHeight="1">
      <c r="A20" s="38" t="inlineStr">
        <is>
          <t>(-) Transferências da União relativas à remuneração dos agentes comunitários de saúde e de combate às endemias (CF, art. 198, §11) (7)</t>
        </is>
      </c>
      <c r="B20" s="39" t="n">
        <v>0</v>
      </c>
    </row>
    <row r="21" ht="19.95" customHeight="1">
      <c r="A21" s="42" t="inlineStr">
        <is>
          <t>RECEITA CORRENTE LÍQUIDA DECLARADA</t>
        </is>
      </c>
      <c r="B21" s="4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5.88671875" customWidth="1" min="2" max="2"/>
    <col width="24.109375" customWidth="1" min="3" max="3"/>
  </cols>
  <sheetData>
    <row r="1" ht="15.6" customHeight="1">
      <c r="A1" s="44" t="inlineStr">
        <is>
          <t>Quadro 5 – Despesa com Pessoal</t>
        </is>
      </c>
    </row>
    <row r="2">
      <c r="A2" s="45" t="inlineStr">
        <is>
          <t>Este quadro detalha a despesa com pessoal do Município.</t>
        </is>
      </c>
    </row>
    <row r="3">
      <c r="A3" s="46" t="n"/>
      <c r="B3" s="46" t="n"/>
    </row>
    <row r="4">
      <c r="A4" s="47" t="inlineStr">
        <is>
          <t>DESCRIÇÃO</t>
        </is>
      </c>
      <c r="B4" s="48" t="inlineStr">
        <is>
          <t>TCE/MA</t>
        </is>
      </c>
    </row>
    <row r="5">
      <c r="A5" s="49" t="inlineStr">
        <is>
          <t>Pessoal ativo</t>
        </is>
      </c>
      <c r="B5" s="50" t="n">
        <v>120554249.79</v>
      </c>
    </row>
    <row r="6" ht="28.8" customHeight="1">
      <c r="A6" s="51" t="inlineStr">
        <is>
          <t>Pessoal inativo e pensionistas</t>
        </is>
      </c>
      <c r="B6" s="50" t="n">
        <v>0</v>
      </c>
    </row>
    <row r="7" ht="28.8" customHeight="1">
      <c r="A7" s="51" t="inlineStr">
        <is>
          <t>Outras despesas de pessoal decorrentes de contratos de terceirização (§ 1º do art. 18 da LRF)</t>
        </is>
      </c>
      <c r="B7" s="50" t="n">
        <v>0</v>
      </c>
    </row>
    <row r="8">
      <c r="A8" s="52" t="inlineStr">
        <is>
          <t>DESPESA COM PESSOAL</t>
        </is>
      </c>
      <c r="B8" s="53" t="n">
        <v>120554249.79</v>
      </c>
    </row>
    <row r="9">
      <c r="A9" s="51" t="inlineStr">
        <is>
          <t>(-) Indenizações por demissão e incentivos à demissão voluntária</t>
        </is>
      </c>
      <c r="B9" s="50" t="n">
        <v>0</v>
      </c>
    </row>
    <row r="10" ht="28.8" customHeight="1">
      <c r="A10" s="51" t="inlineStr">
        <is>
          <t>(-) Decorrentes de decisão judicial de período anterior ao da apuração</t>
        </is>
      </c>
      <c r="B10" s="50" t="n">
        <v>0</v>
      </c>
    </row>
    <row r="11" ht="28.8" customHeight="1">
      <c r="A11" s="51" t="inlineStr">
        <is>
          <t>(-) Despesas de exercícios anteriores de período anterior ao da apuração</t>
        </is>
      </c>
      <c r="B11" s="50" t="n">
        <v>2435293.72</v>
      </c>
    </row>
    <row r="12" ht="28.8" customHeight="1">
      <c r="A12" s="51" t="inlineStr">
        <is>
          <t>(-) Inativos e pensionistas com recursos vinculados</t>
        </is>
      </c>
      <c r="B12" s="50" t="n">
        <v>0</v>
      </c>
    </row>
    <row r="13" ht="28.8" customHeight="1">
      <c r="A13" s="51" t="inlineStr">
        <is>
          <t>(-) Agentes Comunitários de Saúde e de Combate às Endemias com Recursos Vinculados (CF, art. 198, §11)</t>
        </is>
      </c>
      <c r="B13" s="50" t="n">
        <v>0</v>
      </c>
    </row>
    <row r="14" ht="28.8" customHeight="1">
      <c r="A14" s="51" t="inlineStr">
        <is>
          <t>(-) Parcela dedutível referente ao piso salarial do Enfermeiro, Técnico de Enfermagem, Auxiliar de Enfermagem e Parteira (ADCT, art. 38, §2º)</t>
        </is>
      </c>
      <c r="B14" s="50" t="n">
        <v>0</v>
      </c>
    </row>
    <row r="15" ht="28.8" customHeight="1">
      <c r="A15" s="52" t="inlineStr">
        <is>
          <t>DESPESA LÍQUIDA COM PESSOAL (DESPESAS INSCRITAS EM RESTOS A PAGAR NÃO PROCESSADOS)</t>
        </is>
      </c>
      <c r="B15" s="54" t="n">
        <v>0</v>
      </c>
    </row>
    <row r="16">
      <c r="A16" s="52" t="inlineStr">
        <is>
          <t>DESPESA LÍQUIDA COM PESSOAL</t>
        </is>
      </c>
      <c r="B16" s="55">
        <f>IFERROR(B8-SUM(B9:B14)-B15,0)</f>
        <v/>
      </c>
    </row>
    <row r="17" ht="28.8" customHeight="1">
      <c r="A17" s="51" t="inlineStr">
        <is>
          <t>Base de cálculo informada</t>
        </is>
      </c>
      <c r="B17" s="50" t="n">
        <v>223929249.31</v>
      </c>
    </row>
    <row r="18">
      <c r="A18" s="56" t="inlineStr">
        <is>
          <t>PERCENTUAL DE APLICAÇÃO EM DESPESA COM PESSOAL</t>
        </is>
      </c>
      <c r="B18" s="57" t="n">
        <v>52.75</v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35" t="inlineStr">
        <is>
          <t>Quadro 6 – Comportamento da Despesa com Pessoal no Exercício</t>
        </is>
      </c>
    </row>
    <row r="2" ht="42" customHeight="1">
      <c r="A2" s="28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8" t="inlineStr">
        <is>
          <t>1º Semestre(R$)</t>
        </is>
      </c>
      <c r="B4" s="59" t="n"/>
      <c r="C4" s="58" t="inlineStr">
        <is>
          <t>(APURADO PELO TCE) (R$)</t>
        </is>
      </c>
      <c r="D4" s="59" t="n"/>
    </row>
    <row r="5" ht="22.05" customHeight="1">
      <c r="A5" s="60" t="inlineStr">
        <is>
          <t>Total Despesa</t>
        </is>
      </c>
      <c r="B5" s="61" t="n">
        <v>93297790.14</v>
      </c>
      <c r="C5" s="60" t="inlineStr">
        <is>
          <t>Total Despesa</t>
        </is>
      </c>
      <c r="D5" s="61" t="n">
        <v>101097508.86</v>
      </c>
    </row>
    <row r="6" ht="22.05" customHeight="1">
      <c r="A6" s="62" t="inlineStr">
        <is>
          <t>RECEITA CORRENTE LÍQUIDA</t>
        </is>
      </c>
      <c r="B6" s="63" t="n">
        <v>186483770.5</v>
      </c>
      <c r="C6" s="62" t="inlineStr">
        <is>
          <t>RECEITA CORRENTE LÍQUIDA )</t>
        </is>
      </c>
      <c r="D6" s="63" t="n">
        <v>223929249.31</v>
      </c>
    </row>
    <row r="7" ht="30" customHeight="1">
      <c r="A7" s="64" t="inlineStr">
        <is>
          <t>Despesa de Pessoal EXECUTIVO – Limite Legal - 54% do RCL - art. 21 II da LRF</t>
        </is>
      </c>
      <c r="B7" s="65" t="n">
        <v>100701236.07</v>
      </c>
      <c r="C7" s="64" t="inlineStr">
        <is>
          <t>Despesa de Pessoal EXECUTIVO – Limite Legal - 54% do RCL - art. 21 II da LRF</t>
        </is>
      </c>
      <c r="D7" s="65" t="n">
        <v>120921794.63</v>
      </c>
    </row>
    <row r="8" ht="22.05" customHeight="1">
      <c r="A8" s="66" t="inlineStr">
        <is>
          <t>Percentual e Valor Apurados</t>
        </is>
      </c>
      <c r="B8" s="67" t="n">
        <v>50.03</v>
      </c>
      <c r="C8" s="66" t="inlineStr">
        <is>
          <t>Percentual e Valor Apurados</t>
        </is>
      </c>
      <c r="D8" s="67" t="n">
        <v>45.1471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35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8" t="inlineStr">
        <is>
          <t>DÍVIDA CONSOLIDADA</t>
        </is>
      </c>
      <c r="B4" s="68" t="inlineStr">
        <is>
          <t>SALDO DO EXERCÍCIO ANTERIOR</t>
        </is>
      </c>
      <c r="C4" s="69" t="inlineStr">
        <is>
          <t>Saldo do Exercício de</t>
        </is>
      </c>
      <c r="D4" s="70" t="n"/>
    </row>
    <row r="5" ht="22.05" customHeight="1">
      <c r="A5" s="71" t="n"/>
      <c r="B5" s="71" t="n"/>
      <c r="C5" s="69" t="inlineStr">
        <is>
          <t>Até o 1º Semestre</t>
        </is>
      </c>
      <c r="D5" s="69" t="inlineStr">
        <is>
          <t>Até o 2º Semestre</t>
        </is>
      </c>
    </row>
    <row r="6">
      <c r="A6" s="72" t="inlineStr">
        <is>
          <t>DÍVIDA CONSOLIDADA - DC (I)</t>
        </is>
      </c>
      <c r="B6" s="73" t="n">
        <v>2983523.84</v>
      </c>
      <c r="C6" s="73" t="n">
        <v>16496895.58</v>
      </c>
      <c r="D6" s="73" t="n">
        <v>15570644.53</v>
      </c>
    </row>
    <row r="7">
      <c r="A7" s="74" t="inlineStr">
        <is>
          <t>Dívida Mobiliária</t>
        </is>
      </c>
      <c r="B7" s="75" t="n">
        <v>0</v>
      </c>
      <c r="C7" s="75" t="n">
        <v>0</v>
      </c>
      <c r="D7" s="75" t="n">
        <v>0</v>
      </c>
    </row>
    <row r="8">
      <c r="A8" s="76" t="inlineStr">
        <is>
          <t>Dívida Contratual</t>
        </is>
      </c>
      <c r="B8" s="77" t="n">
        <v>2983523.84</v>
      </c>
      <c r="C8" s="77" t="n">
        <v>16496895.58</v>
      </c>
      <c r="D8" s="77" t="n">
        <v>15570644.53</v>
      </c>
    </row>
    <row r="9" ht="28.8" customHeight="1">
      <c r="A9" s="74" t="inlineStr">
        <is>
          <t>Precatórios posteriores a 05/05/2000 (inclusive) - Vencidos e não pagos</t>
        </is>
      </c>
      <c r="B9" s="75" t="n">
        <v>0</v>
      </c>
      <c r="C9" s="75" t="n">
        <v>0</v>
      </c>
      <c r="D9" s="75" t="n">
        <v>0</v>
      </c>
    </row>
    <row r="10">
      <c r="A10" s="76" t="inlineStr">
        <is>
          <t>Outras Dívidas</t>
        </is>
      </c>
      <c r="B10" s="77" t="n">
        <v>0</v>
      </c>
      <c r="C10" s="77" t="n">
        <v>0</v>
      </c>
      <c r="D10" s="77" t="n">
        <v>0</v>
      </c>
    </row>
    <row r="11">
      <c r="A11" s="72" t="inlineStr">
        <is>
          <t>DEDUÇÕES (II)¹</t>
        </is>
      </c>
      <c r="B11" s="73" t="n">
        <v>-485408.97</v>
      </c>
      <c r="C11" s="73" t="n">
        <v>13593441.15</v>
      </c>
      <c r="D11" s="73" t="n">
        <v>2760463.25</v>
      </c>
    </row>
    <row r="12">
      <c r="A12" s="74" t="inlineStr">
        <is>
          <t>Disponibilidade de Caixa</t>
        </is>
      </c>
      <c r="B12" s="78" t="n"/>
      <c r="C12" s="78" t="n"/>
      <c r="D12" s="78" t="n"/>
    </row>
    <row r="13">
      <c r="A13" s="76" t="inlineStr">
        <is>
          <t>Disponibilidade de Caixa Bruta</t>
        </is>
      </c>
      <c r="B13" s="77" t="n">
        <v>13644981.62</v>
      </c>
      <c r="C13" s="77" t="n">
        <v>37027948.4</v>
      </c>
      <c r="D13" s="77" t="n">
        <v>25669370.81</v>
      </c>
    </row>
    <row r="14">
      <c r="A14" s="74" t="inlineStr">
        <is>
          <t>(-) Restos a Pagar Processados (Exceto Precatórios)</t>
        </is>
      </c>
      <c r="B14" s="75" t="n">
        <v>1131079.49</v>
      </c>
      <c r="C14" s="75" t="n">
        <v>7665120.95</v>
      </c>
      <c r="D14" s="75" t="n">
        <v>4924025.06</v>
      </c>
    </row>
    <row r="15">
      <c r="A15" s="76" t="inlineStr">
        <is>
          <t>Demais Haveres Financeiros</t>
        </is>
      </c>
      <c r="B15" s="77" t="n">
        <v>0</v>
      </c>
      <c r="C15" s="77" t="n">
        <v>0</v>
      </c>
      <c r="D15" s="77" t="n">
        <v>0</v>
      </c>
    </row>
    <row r="16">
      <c r="A16" s="72" t="inlineStr">
        <is>
          <t>DÍVIDA CONSOLIDADA LÍQUIDA (DCL) (III) = (I - II)</t>
        </is>
      </c>
      <c r="B16" s="73" t="n">
        <v>3468932.81</v>
      </c>
      <c r="C16" s="73" t="n">
        <v>2903454.43</v>
      </c>
      <c r="D16" s="73" t="n">
        <v>12810181.28</v>
      </c>
    </row>
    <row r="17">
      <c r="A17" s="72" t="inlineStr">
        <is>
          <t>RECEITA CORRENTE LÍQUIDA - RCL</t>
        </is>
      </c>
      <c r="B17" s="73" t="n">
        <v>168373975.24</v>
      </c>
      <c r="C17" s="73" t="n">
        <v>203577649.8</v>
      </c>
      <c r="D17" s="73" t="n">
        <v>223929249.31</v>
      </c>
    </row>
    <row r="18" ht="28.8" customHeight="1">
      <c r="A18" s="74" t="inlineStr">
        <is>
          <t>(-) Transferências Obrigatórias da União Relativas às Emendas Individuais (art. 166-A, § 1º, da CF) (V)</t>
        </is>
      </c>
      <c r="B18" s="75" t="n">
        <v>0</v>
      </c>
      <c r="C18" s="75" t="n">
        <v>2970896</v>
      </c>
      <c r="D18" s="75" t="n">
        <v>2970896</v>
      </c>
    </row>
    <row r="19" ht="28.8" customHeight="1">
      <c r="A19" s="72" t="inlineStr">
        <is>
          <t>RECEITA CORRENTE LÍQUIDA AJUSTADA PARA PARA CÁLCULO DOS LIMITES DE ENDIVIDAMENTO (VI) = (IV - V)</t>
        </is>
      </c>
      <c r="B19" s="73" t="n">
        <v>168373975.24</v>
      </c>
      <c r="C19" s="73" t="n">
        <v>200606753.8</v>
      </c>
      <c r="D19" s="73" t="n">
        <v>220958353.31</v>
      </c>
    </row>
    <row r="20">
      <c r="A20" s="76" t="inlineStr">
        <is>
          <t>% da DC sobre a RCL (I/RCL)</t>
        </is>
      </c>
      <c r="B20" s="79" t="n">
        <v>0.0177</v>
      </c>
      <c r="C20" s="79" t="n">
        <v>0.0822</v>
      </c>
      <c r="D20" s="79" t="n">
        <v>0.07049999999999999</v>
      </c>
    </row>
    <row r="21">
      <c r="A21" s="74" t="inlineStr">
        <is>
          <t>% da DCL sobre a RCL (III/RCL)</t>
        </is>
      </c>
      <c r="B21" s="80" t="n">
        <v>0.0206</v>
      </c>
      <c r="C21" s="80" t="n">
        <v>0.0145</v>
      </c>
      <c r="D21" s="80" t="n">
        <v>0.058</v>
      </c>
    </row>
    <row r="22">
      <c r="A22" s="72" t="inlineStr">
        <is>
          <t>LIMITE DEFINIDO POR RESOLUÇÃO DO SENADO FEDERAL</t>
        </is>
      </c>
      <c r="B22" s="73" t="n">
        <v>202048770.29</v>
      </c>
      <c r="C22" s="73" t="n">
        <v>240728104.56</v>
      </c>
      <c r="D22" s="73" t="n">
        <v>263582655.13</v>
      </c>
    </row>
    <row r="23">
      <c r="A23" s="72" t="inlineStr">
        <is>
          <t>LIMITE DE ALERTA (inciso III do § 1º do art. 59 da LRF) - %</t>
        </is>
      </c>
      <c r="B23" s="73" t="n">
        <v>181843893.26</v>
      </c>
      <c r="C23" s="73" t="n">
        <v>216655294.1</v>
      </c>
      <c r="D23" s="73" t="n">
        <v>237224389.62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27" t="inlineStr">
        <is>
          <t>Quadro 8 – Balanço Orçamentário – Receitas</t>
        </is>
      </c>
    </row>
    <row r="2" ht="30" customHeight="1">
      <c r="A2" s="28" t="inlineStr">
        <is>
          <t>Este quadro detalha a execução orçamentária das receitas por categoria.</t>
        </is>
      </c>
    </row>
    <row r="3" ht="15" customHeight="1"/>
    <row r="4" ht="34.05" customHeight="1">
      <c r="A4" s="81" t="inlineStr">
        <is>
          <t>LINHA</t>
        </is>
      </c>
      <c r="B4" s="82" t="inlineStr">
        <is>
          <t>PREVISÃO INICIAL</t>
        </is>
      </c>
      <c r="C4" s="82" t="inlineStr">
        <is>
          <t>PREVISÃO ATUALIZADA</t>
        </is>
      </c>
      <c r="D4" s="82" t="inlineStr">
        <is>
          <t>RECEITA REALIZADA</t>
        </is>
      </c>
      <c r="E4" s="83" t="inlineStr">
        <is>
          <t>SALDO</t>
        </is>
      </c>
    </row>
    <row r="5" ht="22.05" customHeight="1">
      <c r="A5" s="84" t="inlineStr">
        <is>
          <t>Receitas Correntes (I)</t>
        </is>
      </c>
      <c r="B5" s="85" t="n">
        <v>187529935.26</v>
      </c>
      <c r="C5" s="85" t="n">
        <v>187529935.26</v>
      </c>
      <c r="D5" s="85" t="n">
        <v>223929249.31</v>
      </c>
      <c r="E5" s="86" t="n">
        <v>36399314.05</v>
      </c>
    </row>
    <row r="6" ht="22.05" customHeight="1">
      <c r="A6" s="87" t="inlineStr">
        <is>
          <t>Receitas de Capital (II)</t>
        </is>
      </c>
      <c r="B6" s="88" t="n">
        <v>13900064.74</v>
      </c>
      <c r="C6" s="88" t="n">
        <v>13900064.74</v>
      </c>
      <c r="D6" s="88" t="n">
        <v>16974033.86</v>
      </c>
      <c r="E6" s="89" t="n">
        <v>3073969.12</v>
      </c>
    </row>
    <row r="7" ht="22.05" customHeight="1">
      <c r="A7" s="90" t="inlineStr">
        <is>
          <t>Subtotal das Receitas (III)</t>
        </is>
      </c>
      <c r="B7" s="91" t="n">
        <v>201430000</v>
      </c>
      <c r="C7" s="91" t="n">
        <v>201430000</v>
      </c>
      <c r="D7" s="91" t="n">
        <v>240903283.17</v>
      </c>
      <c r="E7" s="92" t="n">
        <v>39473283.17</v>
      </c>
    </row>
    <row r="8" ht="22.05" customHeight="1">
      <c r="A8" s="87" t="inlineStr">
        <is>
          <t>Operações de Crédito (IV)</t>
        </is>
      </c>
      <c r="B8" s="88" t="n">
        <v>0</v>
      </c>
      <c r="C8" s="88" t="n">
        <v>0</v>
      </c>
      <c r="D8" s="88" t="n">
        <v>0</v>
      </c>
      <c r="E8" s="89" t="n">
        <v>0</v>
      </c>
    </row>
    <row r="9" ht="22.05" customHeight="1">
      <c r="A9" s="90" t="inlineStr">
        <is>
          <t>Subtotal c/ Refinanciamento (V)</t>
        </is>
      </c>
      <c r="B9" s="91" t="n">
        <v>201430000</v>
      </c>
      <c r="C9" s="91" t="n">
        <v>201430000</v>
      </c>
      <c r="D9" s="91" t="n">
        <v>240903283.17</v>
      </c>
      <c r="E9" s="92" t="n">
        <v>39473283.17</v>
      </c>
    </row>
    <row r="10" ht="22.05" customHeight="1">
      <c r="A10" s="93" t="inlineStr">
        <is>
          <t>Déficit (VI)</t>
        </is>
      </c>
      <c r="B10" s="94" t="n">
        <v>0</v>
      </c>
      <c r="C10" s="94" t="n">
        <v>0</v>
      </c>
      <c r="D10" s="94" t="n">
        <v>0</v>
      </c>
      <c r="E10" s="95" t="n">
        <v>0</v>
      </c>
    </row>
    <row r="11" ht="22.05" customHeight="1">
      <c r="A11" s="96" t="inlineStr">
        <is>
          <t>TOTAL (VII)</t>
        </is>
      </c>
      <c r="B11" s="97" t="n">
        <v>201430000</v>
      </c>
      <c r="C11" s="97" t="n">
        <v>201430000</v>
      </c>
      <c r="D11" s="97" t="n">
        <v>240903283.17</v>
      </c>
      <c r="E11" s="98" t="n">
        <v>39473283.17</v>
      </c>
    </row>
    <row r="12" ht="22.05" customHeight="1">
      <c r="A12" s="99" t="inlineStr">
        <is>
          <t>Saldos Exerc. Anteriores</t>
        </is>
      </c>
      <c r="B12" s="100" t="n">
        <v>0</v>
      </c>
      <c r="C12" s="100" t="n">
        <v>0</v>
      </c>
      <c r="D12" s="100" t="n">
        <v>0</v>
      </c>
      <c r="E12" s="101" t="n">
        <v>0</v>
      </c>
    </row>
    <row r="13" ht="22.05" customHeight="1">
      <c r="A13" s="87" t="inlineStr">
        <is>
          <t>Recursos Arrecadados</t>
        </is>
      </c>
      <c r="B13" s="88" t="n">
        <v>0</v>
      </c>
      <c r="C13" s="88" t="n">
        <v>0</v>
      </c>
      <c r="D13" s="88" t="n">
        <v>0</v>
      </c>
      <c r="E13" s="89" t="n">
        <v>0</v>
      </c>
    </row>
    <row r="14" ht="22.05" customHeight="1">
      <c r="A14" s="84" t="inlineStr">
        <is>
          <t>Superávit Financeiro</t>
        </is>
      </c>
      <c r="B14" s="85" t="n">
        <v>0</v>
      </c>
      <c r="C14" s="85" t="n">
        <v>0</v>
      </c>
      <c r="D14" s="85" t="n">
        <v>0</v>
      </c>
      <c r="E14" s="86" t="n">
        <v>0</v>
      </c>
    </row>
    <row r="15" ht="22.05" customHeight="1">
      <c r="A15" s="102" t="inlineStr">
        <is>
          <t>Reabertura Créditos</t>
        </is>
      </c>
      <c r="B15" s="103" t="n">
        <v>0</v>
      </c>
      <c r="C15" s="103" t="n">
        <v>0</v>
      </c>
      <c r="D15" s="103" t="n">
        <v>0</v>
      </c>
      <c r="E15" s="104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27" t="inlineStr">
        <is>
          <t>Quadro 9 – Balanço Orçamentário – Despesas</t>
        </is>
      </c>
    </row>
    <row r="2" ht="30" customHeight="1">
      <c r="A2" s="28" t="inlineStr">
        <is>
          <t>Este quadro apresenta a estrutura das despesas orçamentárias do Município.</t>
        </is>
      </c>
    </row>
    <row r="3" ht="15" customHeight="1"/>
    <row r="4" ht="34.05" customHeight="1">
      <c r="A4" s="105" t="inlineStr">
        <is>
          <t>LINHA</t>
        </is>
      </c>
      <c r="B4" s="106" t="inlineStr">
        <is>
          <t>DOTAÇÃO INICIAL (D)</t>
        </is>
      </c>
      <c r="C4" s="106" t="inlineStr">
        <is>
          <t>DOTAÇÃO ATUALIZADA (E)</t>
        </is>
      </c>
      <c r="D4" s="106" t="inlineStr">
        <is>
          <t>EMPENHADA (F)</t>
        </is>
      </c>
      <c r="E4" s="106" t="inlineStr">
        <is>
          <t>LIQUIDADAS (G)</t>
        </is>
      </c>
      <c r="F4" s="106" t="inlineStr">
        <is>
          <t>PAGAS (H)</t>
        </is>
      </c>
      <c r="G4" s="107" t="inlineStr">
        <is>
          <t>SALDO DE DOTAÇÃO (I)=(E)-(F)</t>
        </is>
      </c>
    </row>
    <row r="5" ht="22.05" customHeight="1">
      <c r="A5" s="108" t="inlineStr">
        <is>
          <t>Despesas Correntes (VIII)</t>
        </is>
      </c>
      <c r="B5" s="109" t="n">
        <v>174645996.49</v>
      </c>
      <c r="C5" s="109" t="n">
        <v>206928523.24</v>
      </c>
      <c r="D5" s="109" t="n">
        <v>202065939.42</v>
      </c>
      <c r="E5" s="109" t="n">
        <v>201763680.89</v>
      </c>
      <c r="F5" s="109" t="n">
        <v>199492669.43</v>
      </c>
      <c r="G5" s="110" t="n">
        <v>4862583.82</v>
      </c>
    </row>
    <row r="6" ht="22.05" customHeight="1">
      <c r="A6" s="111" t="inlineStr">
        <is>
          <t>Despesas de Capital (IX)</t>
        </is>
      </c>
      <c r="B6" s="112" t="n">
        <v>26334939.51</v>
      </c>
      <c r="C6" s="112" t="n">
        <v>28730275.14</v>
      </c>
      <c r="D6" s="112" t="n">
        <v>27366942.94</v>
      </c>
      <c r="E6" s="112" t="n">
        <v>27366942.94</v>
      </c>
      <c r="F6" s="112" t="n">
        <v>26080225.18</v>
      </c>
      <c r="G6" s="113" t="n">
        <v>1363332.2</v>
      </c>
    </row>
    <row r="7" ht="22.05" customHeight="1">
      <c r="A7" s="114" t="inlineStr">
        <is>
          <t>Reserva de Contingência (X)</t>
        </is>
      </c>
      <c r="B7" s="115" t="n">
        <v>0</v>
      </c>
      <c r="C7" s="115" t="n">
        <v>0</v>
      </c>
      <c r="D7" s="115" t="n">
        <v>0</v>
      </c>
      <c r="E7" s="115" t="n">
        <v>0</v>
      </c>
      <c r="F7" s="115" t="n">
        <v>0</v>
      </c>
      <c r="G7" s="116" t="n">
        <v>0</v>
      </c>
    </row>
    <row r="8" ht="22.05" customHeight="1">
      <c r="A8" s="117" t="inlineStr">
        <is>
          <t>Subtotal das Despesas (XI) = (VIII+IX+X)</t>
        </is>
      </c>
      <c r="B8" s="118" t="n">
        <v>201430000</v>
      </c>
      <c r="C8" s="118" t="n">
        <v>235658798.38</v>
      </c>
      <c r="D8" s="118" t="n">
        <v>229432882.36</v>
      </c>
      <c r="E8" s="118" t="n">
        <v>229130623.83</v>
      </c>
      <c r="F8" s="118" t="n">
        <v>225572894.61</v>
      </c>
      <c r="G8" s="119" t="n">
        <v>6225916.02</v>
      </c>
    </row>
    <row r="9" ht="22.05" customHeight="1">
      <c r="A9" s="111" t="inlineStr">
        <is>
          <t>Amortização da Dívida/Refinanciamento (XII)</t>
        </is>
      </c>
      <c r="B9" s="112" t="n">
        <v>0</v>
      </c>
      <c r="C9" s="112" t="n">
        <v>0</v>
      </c>
      <c r="D9" s="112" t="n">
        <v>0</v>
      </c>
      <c r="E9" s="112" t="n">
        <v>0</v>
      </c>
      <c r="F9" s="112" t="n">
        <v>0</v>
      </c>
      <c r="G9" s="113" t="n">
        <v>0</v>
      </c>
    </row>
    <row r="10" ht="22.05" customHeight="1">
      <c r="A10" s="117" t="inlineStr">
        <is>
          <t>Subtotal c/ Refinanciamento (XIII) = (XI+XII)</t>
        </is>
      </c>
      <c r="B10" s="118" t="n">
        <v>201430000</v>
      </c>
      <c r="C10" s="118" t="n">
        <v>235658798.38</v>
      </c>
      <c r="D10" s="118" t="n">
        <v>229432882.36</v>
      </c>
      <c r="E10" s="118" t="n">
        <v>229130623.83</v>
      </c>
      <c r="F10" s="118" t="n">
        <v>225572894.61</v>
      </c>
      <c r="G10" s="119" t="n">
        <v>6225916.02</v>
      </c>
    </row>
    <row r="11" ht="22.05" customHeight="1">
      <c r="A11" s="114" t="inlineStr">
        <is>
          <t>Superávit (XIV)</t>
        </is>
      </c>
      <c r="B11" s="115" t="n">
        <v>0</v>
      </c>
      <c r="C11" s="115" t="n">
        <v>0</v>
      </c>
      <c r="D11" s="115" t="n">
        <v>0</v>
      </c>
      <c r="E11" s="115" t="n">
        <v>0</v>
      </c>
      <c r="F11" s="115" t="n">
        <v>0</v>
      </c>
      <c r="G11" s="116" t="n">
        <v>0</v>
      </c>
    </row>
    <row r="12" ht="22.05" customHeight="1">
      <c r="A12" s="120" t="inlineStr">
        <is>
          <t>TOTAL (XV) = (XIII+XIV)</t>
        </is>
      </c>
      <c r="B12" s="121" t="n">
        <v>201430000</v>
      </c>
      <c r="C12" s="121" t="n">
        <v>235658798.38</v>
      </c>
      <c r="D12" s="121" t="n">
        <v>240903283.17</v>
      </c>
      <c r="E12" s="121" t="n">
        <v>229130623.83</v>
      </c>
      <c r="F12" s="121" t="n">
        <v>225572894.61</v>
      </c>
      <c r="G12" s="122" t="n">
        <v>6225916.02</v>
      </c>
    </row>
    <row r="13" ht="22.05" customHeight="1">
      <c r="A13" s="123" t="inlineStr">
        <is>
          <t>Reserva do RPPS</t>
        </is>
      </c>
      <c r="B13" s="124" t="n">
        <v>0</v>
      </c>
      <c r="C13" s="124" t="n">
        <v>0</v>
      </c>
      <c r="D13" s="124" t="n">
        <v>0</v>
      </c>
      <c r="E13" s="124" t="n">
        <v>0</v>
      </c>
      <c r="F13" s="124" t="n">
        <v>0</v>
      </c>
      <c r="G13" s="125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6" t="inlineStr">
        <is>
          <t>Quadro 10 – Efetividade na Arrecadação de Receitas</t>
        </is>
      </c>
    </row>
    <row r="2" ht="30" customHeight="1">
      <c r="A2" s="127" t="inlineStr">
        <is>
          <t>Este quadro avalia a efetividade da arrecadação das receitas orçamentárias.</t>
        </is>
      </c>
    </row>
    <row r="3" ht="15" customHeight="1"/>
    <row r="4" ht="22.05" customHeight="1">
      <c r="A4" s="128" t="inlineStr">
        <is>
          <t>RECEITA TRIBUTÁRIA REALIZADA</t>
        </is>
      </c>
      <c r="B4" s="129" t="inlineStr">
        <is>
          <t>RECEITA TRIBUTÁRIA ATUALIZADA</t>
        </is>
      </c>
      <c r="C4" s="130" t="inlineStr">
        <is>
          <t>SITUAÇÃO</t>
        </is>
      </c>
    </row>
    <row r="5" ht="22.05" customHeight="1">
      <c r="A5" s="131" t="n">
        <v>23406363.22</v>
      </c>
      <c r="B5" s="132" t="n">
        <v>13704718.32</v>
      </c>
      <c r="C5" s="133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11 – Comparativo LOA x Balanço Orçamentário</t>
        </is>
      </c>
    </row>
    <row r="2" ht="30" customHeight="1">
      <c r="A2" s="127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128" t="inlineStr">
        <is>
          <t>DESCRIÇÃO</t>
        </is>
      </c>
      <c r="B4" s="129" t="inlineStr">
        <is>
          <t>LOA</t>
        </is>
      </c>
      <c r="C4" s="129" t="inlineStr">
        <is>
          <t>BO</t>
        </is>
      </c>
      <c r="D4" s="130" t="inlineStr">
        <is>
          <t>SITUAÇÃO</t>
        </is>
      </c>
    </row>
    <row r="5" ht="22.05" customHeight="1">
      <c r="A5" s="114" t="inlineStr">
        <is>
          <t>Receita Prevista</t>
        </is>
      </c>
      <c r="B5" s="135" t="n">
        <v>0</v>
      </c>
      <c r="C5" s="135" t="n">
        <v>201430000</v>
      </c>
      <c r="D5" s="136" t="inlineStr">
        <is>
          <t>N/D</t>
        </is>
      </c>
    </row>
    <row r="6" ht="22.05" customHeight="1">
      <c r="A6" s="123" t="inlineStr">
        <is>
          <t>Dotação Inicial</t>
        </is>
      </c>
      <c r="B6" s="132" t="n">
        <v>0</v>
      </c>
      <c r="C6" s="132" t="n">
        <v>201430000</v>
      </c>
      <c r="D6" s="137" t="inlineStr">
        <is>
          <t>N/D</t>
        </is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12 – Apuração do Resultado Financeiro</t>
        </is>
      </c>
    </row>
    <row r="2" ht="30" customHeight="1">
      <c r="A2" s="127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8" t="inlineStr">
        <is>
          <t>Especificação</t>
        </is>
      </c>
      <c r="B4" s="139" t="inlineStr">
        <is>
          <t>Exercício Atual</t>
        </is>
      </c>
      <c r="C4" s="140" t="inlineStr">
        <is>
          <t>Exercício Anterior</t>
        </is>
      </c>
    </row>
    <row r="5" ht="22.05" customHeight="1">
      <c r="A5" s="108" t="inlineStr">
        <is>
          <t>(+) Ativo Financeiro</t>
        </is>
      </c>
      <c r="B5" s="141" t="n">
        <v>25874276.56</v>
      </c>
      <c r="C5" s="142" t="n">
        <v>12590345.45</v>
      </c>
    </row>
    <row r="6" ht="22.05" customHeight="1">
      <c r="A6" s="111" t="inlineStr">
        <is>
          <t>(-) Passivo Financeiro</t>
        </is>
      </c>
      <c r="B6" s="143" t="n">
        <v>25133598.97</v>
      </c>
      <c r="C6" s="144" t="n">
        <v>24226912.98</v>
      </c>
    </row>
    <row r="7" ht="22.05" customHeight="1">
      <c r="A7" s="114" t="inlineStr">
        <is>
          <t>(+) Saldos dos créditos adicionais transferidos e as operações de crédito vinculadas</t>
        </is>
      </c>
      <c r="B7" s="145" t="n">
        <v>0</v>
      </c>
      <c r="C7" s="146" t="n">
        <v>0</v>
      </c>
    </row>
    <row r="8" ht="22.05" customHeight="1">
      <c r="A8" s="147" t="inlineStr">
        <is>
          <t>(=) Superávit/ Déficit Financeiro Apurado</t>
        </is>
      </c>
      <c r="B8" s="148" t="n">
        <v>740677.59</v>
      </c>
      <c r="C8" s="149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13 – Evolução do Patrimônio Líquido</t>
        </is>
      </c>
    </row>
    <row r="2" ht="30" customHeight="1">
      <c r="A2" s="127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50" t="inlineStr">
        <is>
          <t>Patrimônio Líquido 2023 (a)</t>
        </is>
      </c>
      <c r="B4" s="151" t="inlineStr">
        <is>
          <t>Patrimônio Líquido 2024 (b)</t>
        </is>
      </c>
      <c r="C4" s="151" t="inlineStr">
        <is>
          <t>Variação (c = b – a)</t>
        </is>
      </c>
      <c r="D4" s="152" t="inlineStr">
        <is>
          <t>%</t>
        </is>
      </c>
    </row>
    <row r="5" ht="22.05" customHeight="1">
      <c r="A5" s="153" t="n">
        <v>32230689.38</v>
      </c>
      <c r="B5" s="154" t="n">
        <v>59171522.35</v>
      </c>
      <c r="C5" s="155" t="n">
        <v>26940832.97</v>
      </c>
      <c r="D5" s="156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14 – Apuração do Fluxo de Caixa do Período</t>
        </is>
      </c>
    </row>
    <row r="2" ht="30" customHeight="1">
      <c r="A2" s="127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8" t="inlineStr">
        <is>
          <t>Descrição</t>
        </is>
      </c>
      <c r="B4" s="139" t="inlineStr">
        <is>
          <t>Exercício Atual</t>
        </is>
      </c>
      <c r="C4" s="140" t="inlineStr">
        <is>
          <t>Exercício Anterior</t>
        </is>
      </c>
    </row>
    <row r="5" ht="22.05" customHeight="1">
      <c r="A5" s="108" t="inlineStr">
        <is>
          <t>Geração Líquida de Caixa e Equivalente de Caixa</t>
        </is>
      </c>
      <c r="B5" s="157" t="n">
        <v>13149379.55</v>
      </c>
      <c r="C5" s="158" t="n">
        <v>-3504085.95</v>
      </c>
    </row>
    <row r="6" ht="22.05" customHeight="1">
      <c r="A6" s="114" t="inlineStr">
        <is>
          <t>Caixa e Equivalente de Caixa Inicial</t>
        </is>
      </c>
      <c r="B6" s="135" t="n">
        <v>12543402.1</v>
      </c>
      <c r="C6" s="159" t="n">
        <v>16047488.05</v>
      </c>
    </row>
    <row r="7" ht="22.05" customHeight="1">
      <c r="A7" s="147" t="inlineStr">
        <is>
          <t>Caixa e Equivalente de Caixa Final</t>
        </is>
      </c>
      <c r="B7" s="160" t="n">
        <v>25692781.65</v>
      </c>
      <c r="C7" s="161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15 – Suficiência de Caixa</t>
        </is>
      </c>
    </row>
    <row r="2" ht="30" customHeight="1">
      <c r="A2" s="127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2" t="inlineStr">
        <is>
          <t>DESCRIÇÃO</t>
        </is>
      </c>
      <c r="B4" s="163" t="inlineStr">
        <is>
          <t>VALOR</t>
        </is>
      </c>
    </row>
    <row r="5" ht="22.05" customHeight="1">
      <c r="A5" s="114" t="inlineStr">
        <is>
          <t>Disponibilidades de Caixa Bruta (A)</t>
        </is>
      </c>
      <c r="B5" s="164" t="n">
        <v>25670372.68</v>
      </c>
    </row>
    <row r="6" ht="22.05" customHeight="1">
      <c r="A6" s="111" t="inlineStr">
        <is>
          <t>(-)Depósitos/ Consignações (B)</t>
        </is>
      </c>
      <c r="B6" s="159" t="n">
        <v>19973068.61</v>
      </c>
    </row>
    <row r="7" ht="22.05" customHeight="1">
      <c r="A7" s="114" t="inlineStr">
        <is>
          <t>(-)Outras Obrigações (C)</t>
        </is>
      </c>
      <c r="B7" s="164" t="n">
        <v>4819756.95</v>
      </c>
    </row>
    <row r="8" ht="22.05" customHeight="1">
      <c r="A8" s="165" t="inlineStr">
        <is>
          <t>DISPONIBILIDADE DE CAIXA LÍQUIDA (D)=(A)-(B)-(C)</t>
        </is>
      </c>
      <c r="B8" s="166" t="n">
        <v>877547.12</v>
      </c>
    </row>
    <row r="9" ht="22.05" customHeight="1">
      <c r="A9" s="111" t="inlineStr">
        <is>
          <t>(-)Restos a pagar (exercícios anteriores) (E)</t>
        </is>
      </c>
      <c r="B9" s="159" t="n">
        <v>10094584.25</v>
      </c>
    </row>
    <row r="10" ht="22.05" customHeight="1">
      <c r="A10" s="114" t="inlineStr">
        <is>
          <t>(-)Restos a pagar PROCESSADOS (inscritos no exercício) (F)</t>
        </is>
      </c>
      <c r="B10" s="164" t="n">
        <v>3557729.22</v>
      </c>
    </row>
    <row r="11" ht="22.05" customHeight="1">
      <c r="A11" s="111" t="inlineStr">
        <is>
          <t>(-) Restos a pagar NÃO PROCESSADOS (inscritos no exercício) (G)</t>
        </is>
      </c>
      <c r="B11" s="159" t="n">
        <v>302258.53</v>
      </c>
    </row>
    <row r="12" ht="22.05" customHeight="1">
      <c r="A12" s="165" t="inlineStr">
        <is>
          <t>TOTAL RESTO A PAGAR NÃO PAGO (H)=(E)+(F)+(G)</t>
        </is>
      </c>
      <c r="B12" s="166" t="n">
        <v>13954572</v>
      </c>
    </row>
    <row r="13" ht="22.05" customHeight="1">
      <c r="A13" s="114" t="inlineStr">
        <is>
          <t>(+)Restos a pagar (pago) (I)</t>
        </is>
      </c>
      <c r="B13" s="164" t="n">
        <v>8187197.33</v>
      </c>
    </row>
    <row r="14" ht="22.05" customHeight="1">
      <c r="A14" s="111" t="inlineStr">
        <is>
          <t>(+)Restos a pagar PROCESSADOS/Não PROCESSADOS (Cancelados) (J)</t>
        </is>
      </c>
      <c r="B14" s="159" t="n">
        <v>906844.3100000001</v>
      </c>
    </row>
    <row r="15" ht="22.05" customHeight="1">
      <c r="A15" s="114" t="inlineStr">
        <is>
          <t>(+)Restos a pagar PROCESSADOS/ Não PROCESSADOS (Baixados) (K)</t>
        </is>
      </c>
      <c r="B15" s="164" t="n">
        <v>0</v>
      </c>
    </row>
    <row r="16" ht="19.95" customHeight="1">
      <c r="A16" s="165" t="inlineStr">
        <is>
          <t>TOTAL RESTO A PAGAR (L)=(H)-(I)-(J)-(K)</t>
        </is>
      </c>
      <c r="B16" s="166" t="n">
        <v>4860530.36</v>
      </c>
    </row>
    <row r="17" ht="19.95" customHeight="1">
      <c r="A17" s="147" t="inlineStr">
        <is>
          <t>SALDO (M)=(D)-(L)</t>
        </is>
      </c>
      <c r="B17" s="161" t="n">
        <v>-3982983.24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17 – Base de Cálculo do Índice de Saúde</t>
        </is>
      </c>
    </row>
    <row r="2" ht="30" customHeight="1">
      <c r="A2" s="12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67" t="n"/>
      <c r="B3" s="167" t="n"/>
    </row>
    <row r="4" ht="22.05" customHeight="1">
      <c r="A4" s="168" t="inlineStr">
        <is>
          <t>DESCRIÇÃO</t>
        </is>
      </c>
      <c r="B4" s="169" t="inlineStr">
        <is>
          <t>TCE/MA</t>
        </is>
      </c>
    </row>
    <row r="5" ht="22.05" customHeight="1">
      <c r="A5" s="165" t="inlineStr">
        <is>
          <t>RECEITA DE IMPOSTOS</t>
        </is>
      </c>
      <c r="B5" s="166" t="n">
        <v>22874434.43</v>
      </c>
    </row>
    <row r="6" ht="22.05" customHeight="1">
      <c r="A6" s="114" t="inlineStr">
        <is>
          <t>Imposto Predial e Territorial Urbano - IPTU</t>
        </is>
      </c>
      <c r="B6" s="164" t="n">
        <v>837274.3100000001</v>
      </c>
    </row>
    <row r="7" ht="22.05" customHeight="1">
      <c r="A7" s="111" t="inlineStr">
        <is>
          <t>Multas, juros de mora, dívida ativa e outros encargos do IPTU</t>
        </is>
      </c>
      <c r="B7" s="170" t="n">
        <v>0</v>
      </c>
    </row>
    <row r="8" ht="22.05" customHeight="1">
      <c r="A8" s="114" t="inlineStr">
        <is>
          <t>Imposto sobre a Transmissão de Bens Intervivos - ITBI</t>
        </is>
      </c>
      <c r="B8" s="164" t="n">
        <v>573008.1800000001</v>
      </c>
    </row>
    <row r="9" ht="22.05" customHeight="1">
      <c r="A9" s="111" t="inlineStr">
        <is>
          <t>Multas, juros de mora, dívida ativa e outros encargos do ITBI</t>
        </is>
      </c>
      <c r="B9" s="170" t="n">
        <v>0</v>
      </c>
    </row>
    <row r="10" ht="22.05" customHeight="1">
      <c r="A10" s="114" t="inlineStr">
        <is>
          <t>Imposto sobre Serviços de Qualquer Natureza - ISS</t>
        </is>
      </c>
      <c r="B10" s="164" t="n">
        <v>10674880.05</v>
      </c>
    </row>
    <row r="11" ht="22.05" customHeight="1">
      <c r="A11" s="111" t="inlineStr">
        <is>
          <t>Multas, juros de mora, dívida ativa e outros encargos do ISS</t>
        </is>
      </c>
      <c r="B11" s="170" t="n">
        <v>0</v>
      </c>
    </row>
    <row r="12" ht="22.05" customHeight="1">
      <c r="A12" s="114" t="inlineStr">
        <is>
          <t>Imposto de Renda Retido na Fonte - IRRF</t>
        </is>
      </c>
      <c r="B12" s="164" t="n">
        <v>10789271.89</v>
      </c>
    </row>
    <row r="13" ht="22.05" customHeight="1">
      <c r="A13" s="111" t="inlineStr">
        <is>
          <t>Imposto Territorial Rural - ITR</t>
        </is>
      </c>
      <c r="B13" s="170" t="n">
        <v>0</v>
      </c>
    </row>
    <row r="14" ht="22.05" customHeight="1">
      <c r="A14" s="114" t="inlineStr">
        <is>
          <t>Multas, juros de mora, dívida ativa e outros encargos do ITR</t>
        </is>
      </c>
      <c r="B14" s="171" t="n">
        <v>0</v>
      </c>
    </row>
    <row r="15" ht="22.05" customHeight="1">
      <c r="A15" s="111" t="inlineStr">
        <is>
          <t>Multas, juros de mora e outros encargos dos impostos</t>
        </is>
      </c>
      <c r="B15" s="170" t="n">
        <v>0</v>
      </c>
    </row>
    <row r="16" ht="19.95" customHeight="1">
      <c r="A16" s="114" t="inlineStr">
        <is>
          <t>Dívida ativa dos impostos</t>
        </is>
      </c>
      <c r="B16" s="171" t="n">
        <v>0</v>
      </c>
    </row>
    <row r="17" ht="19.95" customHeight="1">
      <c r="A17" s="111" t="inlineStr">
        <is>
          <t>Multa, juros de mora e outros encargos da dívida ativa</t>
        </is>
      </c>
      <c r="B17" s="170" t="n">
        <v>0</v>
      </c>
    </row>
    <row r="18" ht="19.95" customHeight="1">
      <c r="A18" s="165" t="inlineStr">
        <is>
          <t>RECEITA DE TRANSFERÊNCIAS CONSTITUCIONAIS E LEGAIS</t>
        </is>
      </c>
      <c r="B18" s="166" t="n">
        <v>68219355.98999999</v>
      </c>
    </row>
    <row r="19" ht="19.95" customHeight="1">
      <c r="A19" s="114" t="inlineStr">
        <is>
          <t>Cota-parte FPM</t>
        </is>
      </c>
      <c r="B19" s="164" t="n">
        <v>48059649.24</v>
      </c>
    </row>
    <row r="20" ht="19.95" customHeight="1">
      <c r="A20" s="111" t="inlineStr">
        <is>
          <t>Cota-parte ITR</t>
        </is>
      </c>
      <c r="B20" s="159" t="n">
        <v>22812.69</v>
      </c>
    </row>
    <row r="21" ht="19.95" customHeight="1">
      <c r="A21" s="114" t="inlineStr">
        <is>
          <t>Cota-parte IPVA</t>
        </is>
      </c>
      <c r="B21" s="164" t="n">
        <v>3956773.04</v>
      </c>
    </row>
    <row r="22" ht="19.95" customHeight="1">
      <c r="A22" s="111" t="inlineStr">
        <is>
          <t>Cota-parte ICMS</t>
        </is>
      </c>
      <c r="B22" s="159" t="n">
        <v>16073985.64</v>
      </c>
    </row>
    <row r="23" ht="19.95" customHeight="1">
      <c r="A23" s="114" t="inlineStr">
        <is>
          <t>ICMS-Desoneração – LC nº 87/1996</t>
        </is>
      </c>
      <c r="B23" s="164" t="n">
        <v>0</v>
      </c>
    </row>
    <row r="24" ht="19.95" customHeight="1">
      <c r="A24" s="111" t="inlineStr">
        <is>
          <t>Cota-parte IPI-Exportação</t>
        </is>
      </c>
      <c r="B24" s="159" t="n">
        <v>106135.38</v>
      </c>
    </row>
    <row r="25" ht="19.95" customHeight="1">
      <c r="A25" s="114" t="inlineStr">
        <is>
          <t>Cota-parte IOF-Ouro</t>
        </is>
      </c>
      <c r="B25" s="171" t="n">
        <v>0</v>
      </c>
    </row>
    <row r="26" ht="19.95" customHeight="1">
      <c r="A26" s="111" t="inlineStr">
        <is>
          <t>Outras</t>
        </is>
      </c>
      <c r="B26" s="170" t="n">
        <v>0</v>
      </c>
    </row>
    <row r="27" ht="19.95" customHeight="1">
      <c r="A27" s="147" t="inlineStr">
        <is>
          <t>TOTAL DA RECEITA RESULTANTE DE IMPOSTOS (Base de cálculo)</t>
        </is>
      </c>
      <c r="B27" s="16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4" t="inlineStr">
        <is>
          <t>Quadro 18 – Despesas com Ações e Serviços de Saúde</t>
        </is>
      </c>
    </row>
    <row r="2">
      <c r="A2" s="127" t="inlineStr">
        <is>
          <t>Este quadro detalha as despesas realizadas com ações e serviços públicos de saúde.</t>
        </is>
      </c>
    </row>
    <row r="3" ht="15" customHeight="1"/>
    <row r="4" ht="15" customHeight="1">
      <c r="A4" s="105" t="inlineStr">
        <is>
          <t>DESCRIÇÃO</t>
        </is>
      </c>
      <c r="B4" s="172" t="inlineStr">
        <is>
          <t>TCE/MA</t>
        </is>
      </c>
    </row>
    <row r="5">
      <c r="A5" s="173" t="inlineStr">
        <is>
          <t>Atenção Básica</t>
        </is>
      </c>
      <c r="B5" s="174" t="n">
        <v>14214803.41</v>
      </c>
    </row>
    <row r="6">
      <c r="A6" s="175" t="inlineStr">
        <is>
          <t>Assistência Hospitalar e Ambulatorial</t>
        </is>
      </c>
      <c r="B6" s="159" t="n">
        <v>21515057.61</v>
      </c>
    </row>
    <row r="7">
      <c r="A7" s="176" t="inlineStr">
        <is>
          <t>Suporte Profilático e Terapêuticos</t>
        </is>
      </c>
      <c r="B7" s="164" t="n">
        <v>0</v>
      </c>
    </row>
    <row r="8">
      <c r="A8" s="175" t="inlineStr">
        <is>
          <t>Vigilância Sanitária</t>
        </is>
      </c>
      <c r="B8" s="159" t="n">
        <v>0</v>
      </c>
    </row>
    <row r="9">
      <c r="A9" s="176" t="inlineStr">
        <is>
          <t>Vigilância Epidemiológica</t>
        </is>
      </c>
      <c r="B9" s="164" t="n">
        <v>2282523.2</v>
      </c>
    </row>
    <row r="10">
      <c r="A10" s="175" t="inlineStr">
        <is>
          <t>Alimentação e Nutrição</t>
        </is>
      </c>
      <c r="B10" s="159" t="n">
        <v>0</v>
      </c>
    </row>
    <row r="11">
      <c r="A11" s="176" t="inlineStr">
        <is>
          <t>Outras Subfunções</t>
        </is>
      </c>
      <c r="B11" s="164" t="n">
        <v>18000135.42</v>
      </c>
    </row>
    <row r="12">
      <c r="A12" s="177" t="inlineStr">
        <is>
          <t>TOTAL DAS DESPESAS COM SAÚDE</t>
        </is>
      </c>
      <c r="B12" s="166" t="n">
        <v>56012519.64</v>
      </c>
    </row>
    <row r="13" ht="28.8" customHeight="1">
      <c r="A13" s="175" t="inlineStr">
        <is>
          <t>(-)Despesas com saúde não computadas para fins de apuração do Percentual Mínimo(Inscritas em restos a pagar não processados )</t>
        </is>
      </c>
      <c r="B13" s="159" t="n">
        <v>0</v>
      </c>
    </row>
    <row r="14">
      <c r="A14" s="176" t="inlineStr">
        <is>
          <t>(-) Despesas com inativos e pensionistas</t>
        </is>
      </c>
      <c r="B14" s="164" t="n">
        <v>0</v>
      </c>
    </row>
    <row r="15">
      <c r="A15" s="175" t="inlineStr">
        <is>
          <t>(-) Despesa com assistência à saúde que não atende ao princípio de acesso universal</t>
        </is>
      </c>
      <c r="B15" s="159" t="n">
        <v>0</v>
      </c>
    </row>
    <row r="16">
      <c r="A16" s="176" t="inlineStr">
        <is>
          <t>(-) Despesas custeadas com outros recursos</t>
        </is>
      </c>
      <c r="B16" s="164" t="n">
        <v>37417178.9</v>
      </c>
    </row>
    <row r="17">
      <c r="A17" s="175" t="inlineStr">
        <is>
          <t>(-) Outras ações e serviços não computados</t>
        </is>
      </c>
      <c r="B17" s="159" t="n">
        <v>0</v>
      </c>
    </row>
    <row r="18" ht="28.8" customHeight="1">
      <c r="A18" s="176" t="inlineStr">
        <is>
          <t>(-) Restos a pagar não processados inscritos indevidamente no exercício sem disponibilidade financeira</t>
        </is>
      </c>
      <c r="B18" s="164" t="n">
        <v>0</v>
      </c>
    </row>
    <row r="19">
      <c r="A19" s="175" t="inlineStr">
        <is>
          <t>(-) Despesas custeadas com disponibilidade de caixa vinculada aos restos a pagar cancelados</t>
        </is>
      </c>
      <c r="B19" s="159" t="n">
        <v>0</v>
      </c>
    </row>
    <row r="20" ht="28.8" customHeight="1">
      <c r="A20" s="176" t="inlineStr">
        <is>
          <t>(-) Despesas custeadas com recursos vinculados a parcela do percentual mínimo que não foi aplicada em ações e serviços de saúde em exercícios anteriores</t>
        </is>
      </c>
      <c r="B20" s="164" t="n">
        <v>0</v>
      </c>
    </row>
    <row r="21" ht="28.8" customHeight="1">
      <c r="A21" s="177" t="inlineStr">
        <is>
          <t>TOTAL DAS DESPESAS COM AÇÕES E SERVIÇOS PÚBLICOS DE SAÚDE, PARA FINS DE APURAÇÃO DO PERCENTUAL MÍNIMO</t>
        </is>
      </c>
      <c r="B21" s="178" t="n">
        <v>18595340.74</v>
      </c>
    </row>
    <row r="22">
      <c r="A22" s="177" t="inlineStr">
        <is>
          <t>Base de cálculo informada</t>
        </is>
      </c>
      <c r="B22" s="166" t="n">
        <v>91093790.42</v>
      </c>
    </row>
    <row r="23" ht="15" customHeight="1">
      <c r="A23" s="179" t="inlineStr">
        <is>
          <t>PERCENTUAL DE APLICAÇÃO EM AÇÕES E SERVIÇOS PÚBLICOS DE SAÚDE</t>
        </is>
      </c>
      <c r="B23" s="180" t="n">
        <v>0.2041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19 – Base de Cálculo do Índice de Manutenção e Desenvolvimento do Ensino (MDE)</t>
        </is>
      </c>
    </row>
    <row r="2" ht="30" customHeight="1">
      <c r="A2" s="181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67" t="n"/>
      <c r="B3" s="167" t="n"/>
    </row>
    <row r="4" ht="22.05" customHeight="1">
      <c r="A4" s="168" t="inlineStr">
        <is>
          <t>DESCRIÇÃO</t>
        </is>
      </c>
      <c r="B4" s="169" t="inlineStr">
        <is>
          <t>TCE/MA</t>
        </is>
      </c>
    </row>
    <row r="5" ht="22.05" customHeight="1">
      <c r="A5" s="165" t="inlineStr">
        <is>
          <t>RECEITA DE IMPOSTOS</t>
        </is>
      </c>
      <c r="B5" s="166" t="n">
        <v>22874434.43</v>
      </c>
    </row>
    <row r="6" ht="22.05" customHeight="1">
      <c r="A6" s="114" t="inlineStr">
        <is>
          <t>Imposto Predial e Territorial Urbano - IPTU</t>
        </is>
      </c>
      <c r="B6" s="164" t="n">
        <v>837274.3100000001</v>
      </c>
    </row>
    <row r="7" ht="22.05" customHeight="1">
      <c r="A7" s="111" t="inlineStr">
        <is>
          <t>Multas, Juros de Mora, Dívida Ativa e Outros Encargos do IPTU</t>
        </is>
      </c>
      <c r="B7" s="159" t="n">
        <v>0</v>
      </c>
    </row>
    <row r="8" ht="22.05" customHeight="1">
      <c r="A8" s="114" t="inlineStr">
        <is>
          <t>Imposto Sobre a Transmissão de Bens Intervivos - ITBI</t>
        </is>
      </c>
      <c r="B8" s="164" t="n">
        <v>573008.1800000001</v>
      </c>
    </row>
    <row r="9" ht="22.05" customHeight="1">
      <c r="A9" s="111" t="inlineStr">
        <is>
          <t>Multas, Juros de Mora, Dívida Ativa e Outros Encargos do ITBI</t>
        </is>
      </c>
      <c r="B9" s="159" t="n">
        <v>0</v>
      </c>
    </row>
    <row r="10" ht="22.05" customHeight="1">
      <c r="A10" s="114" t="inlineStr">
        <is>
          <t>Imposto Sobre Serviços de Qualquer Natureza - ISS</t>
        </is>
      </c>
      <c r="B10" s="164" t="n">
        <v>10674880.05</v>
      </c>
    </row>
    <row r="11" ht="22.05" customHeight="1">
      <c r="A11" s="111" t="inlineStr">
        <is>
          <t>Multas, Juros de Mora, Dívida Ativa e Outros Encargos do ISS</t>
        </is>
      </c>
      <c r="B11" s="159" t="n">
        <v>0</v>
      </c>
    </row>
    <row r="12" ht="22.05" customHeight="1">
      <c r="A12" s="114" t="inlineStr">
        <is>
          <t>Imposto de Renda Retido na Fonte - IRRF</t>
        </is>
      </c>
      <c r="B12" s="164" t="n">
        <v>10789271.89</v>
      </c>
    </row>
    <row r="13" ht="22.05" customHeight="1">
      <c r="A13" s="111" t="inlineStr">
        <is>
          <t>Imposto Territorial Rural - ITR</t>
        </is>
      </c>
      <c r="B13" s="159" t="n">
        <v>0</v>
      </c>
    </row>
    <row r="14" ht="22.05" customHeight="1">
      <c r="A14" s="114" t="inlineStr">
        <is>
          <t>Multas, Juros de Mora, Dívida Ativa e Outros Encargos do ITR</t>
        </is>
      </c>
      <c r="B14" s="164" t="n">
        <v>0</v>
      </c>
    </row>
    <row r="15" ht="22.05" customHeight="1">
      <c r="A15" s="111" t="inlineStr">
        <is>
          <t>Multas, Juros de Mora e Outros e Encargos dos Impostos</t>
        </is>
      </c>
      <c r="B15" s="159" t="n">
        <v>0</v>
      </c>
    </row>
    <row r="16" ht="19.95" customHeight="1">
      <c r="A16" s="114" t="inlineStr">
        <is>
          <t>Dívida Ativa dos Impostos</t>
        </is>
      </c>
      <c r="B16" s="164" t="n">
        <v>0</v>
      </c>
    </row>
    <row r="17" ht="19.95" customHeight="1">
      <c r="A17" s="111" t="inlineStr">
        <is>
          <t>Multa, Juros de Mora e Outros Encargos da Dívida Ativa</t>
        </is>
      </c>
      <c r="B17" s="159" t="n">
        <v>0</v>
      </c>
    </row>
    <row r="18" ht="19.95" customHeight="1">
      <c r="A18" s="165" t="inlineStr">
        <is>
          <t>RECEITA DE TRANSFERÊNCIAS CONSTITUCIONAIS E LEGAIS</t>
        </is>
      </c>
      <c r="B18" s="166" t="n">
        <v>73180807.34999999</v>
      </c>
    </row>
    <row r="19" ht="19.95" customHeight="1">
      <c r="A19" s="114" t="inlineStr">
        <is>
          <t>Cota-parte FPM</t>
        </is>
      </c>
      <c r="B19" s="164" t="n">
        <v>53021100.6</v>
      </c>
    </row>
    <row r="20" ht="19.95" customHeight="1">
      <c r="A20" s="111" t="inlineStr">
        <is>
          <t>Cota-parte ITR</t>
        </is>
      </c>
      <c r="B20" s="159" t="n">
        <v>22812.69</v>
      </c>
    </row>
    <row r="21" ht="19.95" customHeight="1">
      <c r="A21" s="114" t="inlineStr">
        <is>
          <t>Cota-parte IPVA</t>
        </is>
      </c>
      <c r="B21" s="164" t="n">
        <v>3956773.04</v>
      </c>
    </row>
    <row r="22" ht="19.95" customHeight="1">
      <c r="A22" s="111" t="inlineStr">
        <is>
          <t>Cota-parte ICMS</t>
        </is>
      </c>
      <c r="B22" s="159" t="n">
        <v>16073985.64</v>
      </c>
    </row>
    <row r="23" ht="19.95" customHeight="1">
      <c r="A23" s="114" t="inlineStr">
        <is>
          <t>ICMS-Desoneração – LC nº 87/1996</t>
        </is>
      </c>
      <c r="B23" s="164" t="n">
        <v>0</v>
      </c>
    </row>
    <row r="24" ht="19.95" customHeight="1">
      <c r="A24" s="111" t="inlineStr">
        <is>
          <t>Cota-parte IPI-Exportação</t>
        </is>
      </c>
      <c r="B24" s="159" t="n">
        <v>106135.38</v>
      </c>
    </row>
    <row r="25" ht="19.95" customHeight="1">
      <c r="A25" s="114" t="inlineStr">
        <is>
          <t>Cota-parte IOF-Ouro</t>
        </is>
      </c>
      <c r="B25" s="164" t="n">
        <v>0</v>
      </c>
    </row>
    <row r="26" ht="19.95" customHeight="1">
      <c r="A26" s="111" t="inlineStr">
        <is>
          <t>Outras</t>
        </is>
      </c>
      <c r="B26" s="159" t="n">
        <v>0</v>
      </c>
    </row>
    <row r="27" ht="19.95" customHeight="1">
      <c r="A27" s="147" t="inlineStr">
        <is>
          <t>TOTAL DA RECEITA RESULTANTE DE IMPOSTOS (Base de cálculo)</t>
        </is>
      </c>
      <c r="B27" s="16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5" t="inlineStr">
        <is>
          <t>Quadro 20 – Despesas com Manutenção e Desenvolvimento do Ensino (MDE)</t>
        </is>
      </c>
    </row>
    <row r="2">
      <c r="A2" s="28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67" t="n"/>
      <c r="B3" s="167" t="n"/>
    </row>
    <row r="4">
      <c r="A4" s="168" t="inlineStr">
        <is>
          <t>DESCRIÇÃO</t>
        </is>
      </c>
      <c r="B4" s="169" t="inlineStr">
        <is>
          <t>TCE/MA</t>
        </is>
      </c>
    </row>
    <row r="5">
      <c r="A5" s="182" t="inlineStr">
        <is>
          <t>Total das Despesas custeadas com FUNDEB - Impostos e Transferências de Impostos</t>
        </is>
      </c>
      <c r="B5" s="164" t="n">
        <v>75240841.43000001</v>
      </c>
    </row>
    <row r="6" ht="28.8" customHeight="1">
      <c r="A6" s="183" t="inlineStr">
        <is>
          <t>Total das Despesas custeadas com FUNDEB - Impostos e Transferências de Impostos (valor aplicado até o primeiro quadrimestre que integrarão o limite constitucional)</t>
        </is>
      </c>
      <c r="B6" s="159" t="n">
        <v>0</v>
      </c>
    </row>
    <row r="7">
      <c r="A7" s="182" t="inlineStr">
        <is>
          <t>Educação Infantil</t>
        </is>
      </c>
      <c r="B7" s="164" t="n">
        <v>0</v>
      </c>
    </row>
    <row r="8">
      <c r="A8" s="183" t="inlineStr">
        <is>
          <t>Ensino Fundamental</t>
        </is>
      </c>
      <c r="B8" s="159" t="n">
        <v>22381719.17</v>
      </c>
    </row>
    <row r="9">
      <c r="A9" s="184" t="inlineStr">
        <is>
          <t>TOTAL DAS DESPESAS COM AÇÕES TÍPICAS DE MDE</t>
        </is>
      </c>
      <c r="B9" s="166" t="n">
        <v>97622560.59999999</v>
      </c>
    </row>
    <row r="10">
      <c r="A10" s="182" t="inlineStr">
        <is>
          <t>(+/-) Resultado Líquido das Transferências do FUNDEB</t>
        </is>
      </c>
      <c r="B10" s="164" t="n">
        <v>18652552.43</v>
      </c>
    </row>
    <row r="11">
      <c r="A11" s="183" t="inlineStr">
        <is>
          <t>(-) Despesas Custeadas com a Complementação do FUNDEB no Exercício</t>
        </is>
      </c>
      <c r="B11" s="159" t="n">
        <v>47961000.53</v>
      </c>
    </row>
    <row r="12">
      <c r="A12" s="182" t="inlineStr">
        <is>
          <t>(-) Receita de Aplicação Financeira do FUNDEB</t>
        </is>
      </c>
      <c r="B12" s="164" t="n">
        <v>733547.7</v>
      </c>
    </row>
    <row r="13">
      <c r="A13" s="183" t="inlineStr">
        <is>
          <t>(-) Despesas Custeadas com Superávit Financeiro, do Exercício Anterior, do FUNDEB</t>
        </is>
      </c>
      <c r="B13" s="159" t="n">
        <v>0</v>
      </c>
    </row>
    <row r="14">
      <c r="A14" s="182" t="inlineStr">
        <is>
          <t>(-) Despesas Custeadas com Outros Recursos</t>
        </is>
      </c>
      <c r="B14" s="164" t="n">
        <v>5189408.82</v>
      </c>
    </row>
    <row r="15" ht="28.8" customHeight="1">
      <c r="A15" s="183" t="inlineStr">
        <is>
          <t>(-) Restos a Pagar Inscritos no Exercício sem Disponibilidade Financeira de Recursos de Impostos Vinculados ao Ensino</t>
        </is>
      </c>
      <c r="B15" s="159" t="n">
        <v>0</v>
      </c>
    </row>
    <row r="16" ht="28.8" customHeight="1">
      <c r="A16" s="182" t="inlineStr">
        <is>
          <t>(-) Cancelamento, no Exercício, de Restos a Pagar Inscritos com Disponibilidade Financeira de Recursos de Impostos Vinculados ao Ensino</t>
        </is>
      </c>
      <c r="B16" s="164" t="n">
        <v>0</v>
      </c>
    </row>
    <row r="17">
      <c r="A17" s="184" t="inlineStr">
        <is>
          <t>TOTAL DAS DESPESAS PARA FINS DE LIMITE</t>
        </is>
      </c>
      <c r="B17" s="166" t="n">
        <v>25086051.12</v>
      </c>
    </row>
    <row r="18">
      <c r="A18" s="184" t="inlineStr">
        <is>
          <t>Base de cálculo informada</t>
        </is>
      </c>
      <c r="B18" s="166" t="n">
        <v>96055241.78</v>
      </c>
    </row>
    <row r="19" ht="15" customHeight="1">
      <c r="A19" s="185" t="inlineStr">
        <is>
          <t>PERCENTUAL DE APLICAÇÃO NO ENSINO</t>
        </is>
      </c>
      <c r="B19" s="180" t="n">
        <v>0.2612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4" t="inlineStr">
        <is>
          <t>Quadro 21 – Recursos Destinados à Formação do FUNDEB</t>
        </is>
      </c>
    </row>
    <row r="2">
      <c r="A2" s="181" t="inlineStr">
        <is>
          <t>Este quadro apresenta a alocação dos recursos destinados à formação do FUNDEB.</t>
        </is>
      </c>
    </row>
    <row r="3" ht="15" customHeight="1"/>
    <row r="4">
      <c r="A4" s="186" t="inlineStr">
        <is>
          <t>DESCRIÇÃO</t>
        </is>
      </c>
      <c r="B4" s="187" t="inlineStr">
        <is>
          <t>TCE/MA</t>
        </is>
      </c>
    </row>
    <row r="5">
      <c r="A5" s="188" t="inlineStr">
        <is>
          <t>2.1.1- Cota-parte FPM (Parcela referente à CF, art. 159, I, alínea b)</t>
        </is>
      </c>
      <c r="B5" s="164" t="n">
        <v>48059649.24</v>
      </c>
    </row>
    <row r="6">
      <c r="A6" s="189" t="inlineStr">
        <is>
          <t>2.2- Cota-parte ICMS</t>
        </is>
      </c>
      <c r="B6" s="158" t="n">
        <v>16073985.64</v>
      </c>
    </row>
    <row r="7">
      <c r="A7" s="188" t="inlineStr">
        <is>
          <t>2.3- Cota-parte IPI-Exportação</t>
        </is>
      </c>
      <c r="B7" s="164" t="n">
        <v>106135.38</v>
      </c>
    </row>
    <row r="8">
      <c r="A8" s="190" t="inlineStr">
        <is>
          <t>2.4- Cota-parte ITR ou ITR Arrecadado</t>
        </is>
      </c>
      <c r="B8" s="159" t="n">
        <v>22812.69</v>
      </c>
    </row>
    <row r="9">
      <c r="A9" s="188" t="inlineStr">
        <is>
          <t>2.5- Cota-parte IPVA</t>
        </is>
      </c>
      <c r="B9" s="164" t="n">
        <v>3956773.04</v>
      </c>
    </row>
    <row r="10">
      <c r="A10" s="190" t="inlineStr">
        <is>
          <t>2.7- Compensações Financeiras Provenientes de Impostos e Transferências Constitucionais</t>
        </is>
      </c>
      <c r="B10" s="159" t="n">
        <v>0</v>
      </c>
    </row>
    <row r="11">
      <c r="A11" s="191" t="inlineStr">
        <is>
          <t>RECEITAS DESTINADAS AO FUNDEB (A)=(2.1.1)+(2.2)+(2.3)+(2.4)+(2.5)+(2.7)</t>
        </is>
      </c>
      <c r="B11" s="166" t="n">
        <v>68219355.98999999</v>
      </c>
    </row>
    <row r="12">
      <c r="A12" s="192" t="inlineStr">
        <is>
          <t>TOTAL EXIGIDO AO FUNDEB (B) 20% DE ((2.1.1) + (2.2) + (2.3) + (2.4) + (2.5) + (2.7))</t>
        </is>
      </c>
      <c r="B12" s="193" t="n">
        <v>13643871.21</v>
      </c>
    </row>
    <row r="13">
      <c r="A13" s="192" t="inlineStr">
        <is>
          <t>TOTAL DESTINADO AO FUNDEB APURADO (C)</t>
        </is>
      </c>
      <c r="B13" s="193" t="n">
        <v>13643871.2</v>
      </c>
    </row>
    <row r="14" ht="15" customHeight="1">
      <c r="A14" s="194" t="inlineStr">
        <is>
          <t>*PERCENTUAL DESTINADO AO FUNDEB (D)=(C)/(A)*100</t>
        </is>
      </c>
      <c r="B14" s="180" t="n">
        <v>0.2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4" t="inlineStr">
        <is>
          <t>Quadro 22 – Transferências de Recursos ao FUNDEB</t>
        </is>
      </c>
    </row>
    <row r="2">
      <c r="A2" s="127" t="inlineStr">
        <is>
          <t>Este quadro apresenta o saldo resultante das transferências de recursos ao FUNDEB destinadas ao Município.</t>
        </is>
      </c>
    </row>
    <row r="3" ht="15" customHeight="1"/>
    <row r="4">
      <c r="A4" s="162" t="inlineStr">
        <is>
          <t>DESCRIÇÃO</t>
        </is>
      </c>
      <c r="B4" s="163" t="inlineStr">
        <is>
          <t>TCE/MA</t>
        </is>
      </c>
    </row>
    <row r="5">
      <c r="A5" s="165" t="inlineStr">
        <is>
          <t>RECEITAS RECEBIDAS DO FUNDEB (E)=(F)+(G)+(H)+(I)+(J)</t>
        </is>
      </c>
      <c r="B5" s="166" t="n">
        <v>80257424.16</v>
      </c>
    </row>
    <row r="6">
      <c r="A6" s="114" t="inlineStr">
        <is>
          <t>Transferências de recursos do FUNDEB (F)</t>
        </is>
      </c>
      <c r="B6" s="164" t="n">
        <v>32296423.63</v>
      </c>
    </row>
    <row r="7">
      <c r="A7" s="111" t="inlineStr">
        <is>
          <t>FUNDEB - Complementação da União - VAAF (G)</t>
        </is>
      </c>
      <c r="B7" s="159" t="n">
        <v>23186379.43</v>
      </c>
    </row>
    <row r="8">
      <c r="A8" s="114" t="inlineStr">
        <is>
          <t>FUNDEB - Complementação da União - VAAT (H)</t>
        </is>
      </c>
      <c r="B8" s="164" t="n">
        <v>23275228.88</v>
      </c>
    </row>
    <row r="9">
      <c r="A9" s="111" t="inlineStr">
        <is>
          <t>FUNDEB - Complementação da União - VAAR (I)</t>
        </is>
      </c>
      <c r="B9" s="159" t="n">
        <v>1499392.22</v>
      </c>
    </row>
    <row r="10">
      <c r="A10" s="114" t="inlineStr">
        <is>
          <t>Receita de aplicação financeira dos recursos do FUNDEB (J)</t>
        </is>
      </c>
      <c r="B10" s="164" t="n">
        <v>0</v>
      </c>
    </row>
    <row r="11">
      <c r="A11" s="165" t="inlineStr">
        <is>
          <t>TOTAL DESTINADO AO FUNDEB PELO ENTE APURADO (C)</t>
        </is>
      </c>
      <c r="B11" s="166" t="n">
        <v>13643871.2</v>
      </c>
    </row>
    <row r="12" ht="15" customHeight="1">
      <c r="A12" s="147" t="inlineStr">
        <is>
          <t>RESULTADO LÍQUIDO DAS TRANSFERÊNCIAS DO FUNDEB (K)=(F-C)</t>
        </is>
      </c>
      <c r="B12" s="161" t="n">
        <v>18652552.43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134" t="inlineStr">
        <is>
          <t>Quadro SUBFUNÇÃO – Despesas da Educação · Função 12 (Anexo 06)</t>
        </is>
      </c>
    </row>
    <row r="2">
      <c r="A2" s="127" t="inlineStr">
        <is>
          <t>Despesas da Função 12 por subfunção, segregadas entre SEMED/MDE e FUNDEB, conforme coluna TOTAL do Anexo 06.</t>
        </is>
      </c>
    </row>
    <row r="3" ht="15" customHeight="1"/>
    <row r="4">
      <c r="A4" s="128" t="inlineStr">
        <is>
          <t>ANEXO 6 – FUNÇÃO 12 · SEMED / MDE (Secretaria Municipal de Educação)</t>
        </is>
      </c>
      <c r="B4" s="195" t="n"/>
      <c r="C4" s="196" t="n"/>
    </row>
    <row r="5">
      <c r="A5" s="197" t="inlineStr">
        <is>
          <t>SUB FUNÇÃO</t>
        </is>
      </c>
      <c r="B5" s="198" t="inlineStr">
        <is>
          <t>DESCRIÇÃO</t>
        </is>
      </c>
      <c r="C5" s="199" t="inlineStr">
        <is>
          <t>VALOR – TOTAL (R$)</t>
        </is>
      </c>
    </row>
    <row r="6">
      <c r="A6" s="200" t="n">
        <v>122</v>
      </c>
      <c r="B6" s="201" t="inlineStr">
        <is>
          <t>Administração Geral</t>
        </is>
      </c>
      <c r="C6" s="202" t="n">
        <v>19692574.49</v>
      </c>
    </row>
    <row r="7">
      <c r="A7" s="203" t="n">
        <v>361</v>
      </c>
      <c r="B7" s="204" t="inlineStr">
        <is>
          <t>Ensino Fundamental</t>
        </is>
      </c>
      <c r="C7" s="205" t="n">
        <v>1310479.12</v>
      </c>
    </row>
    <row r="8">
      <c r="A8" s="200" t="n">
        <v>365</v>
      </c>
      <c r="B8" s="201" t="inlineStr">
        <is>
          <t>Educação Infantil</t>
        </is>
      </c>
      <c r="C8" s="202" t="n">
        <v>0</v>
      </c>
    </row>
    <row r="9">
      <c r="A9" s="203" t="n">
        <v>362</v>
      </c>
      <c r="B9" s="204" t="inlineStr">
        <is>
          <t>Ensino Médio</t>
        </is>
      </c>
      <c r="C9" s="205" t="n">
        <v>0</v>
      </c>
    </row>
    <row r="10">
      <c r="A10" s="200" t="n">
        <v>367</v>
      </c>
      <c r="B10" s="201" t="inlineStr">
        <is>
          <t>Educação Especial</t>
        </is>
      </c>
      <c r="C10" s="202" t="n">
        <v>449</v>
      </c>
    </row>
    <row r="11">
      <c r="A11" s="200" t="n">
        <v>306</v>
      </c>
      <c r="B11" s="201" t="inlineStr">
        <is>
          <t>Alimentação e Nutrição</t>
        </is>
      </c>
      <c r="C11" s="202" t="n">
        <v>1378216.56</v>
      </c>
    </row>
    <row r="12" ht="15" customHeight="1">
      <c r="A12" s="206" t="inlineStr">
        <is>
          <t>SUBTOTAL SEMED / MDE</t>
        </is>
      </c>
      <c r="B12" s="207" t="n"/>
      <c r="C12" s="208" t="n">
        <v>22381719.17</v>
      </c>
    </row>
    <row r="13" ht="15" customHeight="1"/>
    <row r="14">
      <c r="A14" s="209" t="inlineStr">
        <is>
          <t>ANEXO 6 – FUNÇÃO 12 · FUNDEB (Fundo de Desenvolvimento da Educação Básica)</t>
        </is>
      </c>
      <c r="B14" s="195" t="n"/>
      <c r="C14" s="196" t="n"/>
    </row>
    <row r="15">
      <c r="A15" s="197" t="inlineStr">
        <is>
          <t>SUB FUNÇÃO</t>
        </is>
      </c>
      <c r="B15" s="198" t="inlineStr">
        <is>
          <t>DESCRIÇÃO</t>
        </is>
      </c>
      <c r="C15" s="199" t="inlineStr">
        <is>
          <t>VALOR – TOTAL (R$)</t>
        </is>
      </c>
    </row>
    <row r="16">
      <c r="A16" s="200" t="n">
        <v>361</v>
      </c>
      <c r="B16" s="201" t="inlineStr">
        <is>
          <t>Ensino Fundamental</t>
        </is>
      </c>
      <c r="C16" s="202" t="n">
        <v>60152617.82</v>
      </c>
    </row>
    <row r="17">
      <c r="A17" s="203" t="n">
        <v>365</v>
      </c>
      <c r="B17" s="204" t="inlineStr">
        <is>
          <t>Educação Infantil</t>
        </is>
      </c>
      <c r="C17" s="205" t="n">
        <v>13078681.8</v>
      </c>
    </row>
    <row r="18">
      <c r="A18" s="200" t="n">
        <v>366</v>
      </c>
      <c r="B18" s="201" t="inlineStr">
        <is>
          <t>Educação de Jovens e Adultos – EJA</t>
        </is>
      </c>
      <c r="C18" s="202" t="n">
        <v>1607916.09</v>
      </c>
    </row>
    <row r="19">
      <c r="A19" s="203" t="n">
        <v>367</v>
      </c>
      <c r="B19" s="204" t="inlineStr">
        <is>
          <t>Educação Especial</t>
        </is>
      </c>
      <c r="C19" s="205" t="n">
        <v>401625.72</v>
      </c>
    </row>
    <row r="20" ht="15" customHeight="1">
      <c r="A20" s="206" t="inlineStr">
        <is>
          <t>SUBTOTAL FUNDEB</t>
        </is>
      </c>
      <c r="B20" s="207" t="n"/>
      <c r="C20" s="208" t="n">
        <v>75240841.43000001</v>
      </c>
    </row>
    <row r="21" ht="15" customHeight="1"/>
    <row r="22" ht="15" customHeight="1">
      <c r="A22" s="210" t="inlineStr">
        <is>
          <t>TOTAL GERAL – FUNÇÃO 12</t>
        </is>
      </c>
      <c r="B22" s="211" t="n"/>
      <c r="C22" s="212" t="n">
        <v>97622560.59999999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4" t="inlineStr">
        <is>
          <t>Quadro – Aplicação de 70% do FUNDEB em Remuneração dos Profissionais da Educação Básica</t>
        </is>
      </c>
    </row>
    <row r="2" ht="30" customHeight="1">
      <c r="A2" s="213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4" t="inlineStr">
        <is>
          <t>DESCRIÇÃO</t>
        </is>
      </c>
      <c r="B4" s="215" t="inlineStr">
        <is>
          <t>TCE/MA
VALOR MÍNIMO EXIGIDO</t>
        </is>
      </c>
      <c r="C4" s="216" t="inlineStr">
        <is>
          <t>VALOR</t>
        </is>
      </c>
    </row>
    <row r="5" ht="28.8" customHeight="1">
      <c r="A5" s="217" t="inlineStr">
        <is>
          <t>FUNDEB Remuneração dos Profissionais da Educação Básica (70%)</t>
        </is>
      </c>
      <c r="B5" s="218" t="n">
        <v>56180196.91</v>
      </c>
      <c r="C5" s="219" t="n">
        <v>57360901.89</v>
      </c>
    </row>
    <row r="6" ht="28.8" customHeight="1">
      <c r="A6" s="220" t="inlineStr">
        <is>
          <t>(-) Restos a Pagar inscritos no exercício s/ disponibilidade de recursos do FUNDEB 70%</t>
        </is>
      </c>
      <c r="B6" s="221" t="inlineStr">
        <is>
          <t>-</t>
        </is>
      </c>
      <c r="C6" s="222" t="n">
        <v>0</v>
      </c>
    </row>
    <row r="7" ht="28.8" customHeight="1">
      <c r="A7" s="217" t="inlineStr">
        <is>
          <t>(-) Despesas custeadas com superávit financeiro, do exercício anterior, do FUNDEB 70%</t>
        </is>
      </c>
      <c r="B7" s="223" t="inlineStr">
        <is>
          <t>-</t>
        </is>
      </c>
      <c r="C7" s="219" t="n">
        <v>0</v>
      </c>
    </row>
    <row r="8" ht="28.8" customHeight="1">
      <c r="A8" s="224" t="inlineStr">
        <is>
          <t>Valor Aplicado em Remuneração</t>
        </is>
      </c>
      <c r="B8" s="225" t="inlineStr">
        <is>
          <t>-</t>
        </is>
      </c>
      <c r="C8" s="226" t="n">
        <v>57360901.89</v>
      </c>
    </row>
    <row r="9">
      <c r="A9" s="220" t="inlineStr">
        <is>
          <t>Base de cálculo Informada</t>
        </is>
      </c>
      <c r="B9" s="221" t="inlineStr">
        <is>
          <t>-</t>
        </is>
      </c>
      <c r="C9" s="222" t="n">
        <v>80257424.16</v>
      </c>
    </row>
    <row r="10" ht="15" customHeight="1">
      <c r="A10" s="227" t="inlineStr">
        <is>
          <t>%</t>
        </is>
      </c>
      <c r="B10" s="228" t="inlineStr">
        <is>
          <t>70,00 %</t>
        </is>
      </c>
      <c r="C10" s="229" t="n">
        <v>0.7147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0" t="inlineStr">
        <is>
          <t>BALANÇO GERAL - ANEXO 6 - FUNDEB 70%</t>
        </is>
      </c>
      <c r="B1" s="231" t="n"/>
      <c r="C1" s="232" t="n"/>
    </row>
    <row r="2" ht="15.6" customHeight="1">
      <c r="A2" s="233" t="n"/>
      <c r="B2" s="234" t="n"/>
      <c r="C2" s="234" t="n"/>
    </row>
    <row r="3" ht="30" customHeight="1">
      <c r="A3" s="235" t="inlineStr">
        <is>
          <t>Código</t>
        </is>
      </c>
      <c r="B3" s="236" t="inlineStr">
        <is>
          <t>Descrição</t>
        </is>
      </c>
      <c r="C3" s="237" t="inlineStr">
        <is>
          <t>Valor (R$)</t>
        </is>
      </c>
    </row>
    <row r="4">
      <c r="A4" s="238" t="inlineStr">
        <is>
          <t>12.361</t>
        </is>
      </c>
      <c r="B4" s="239" t="inlineStr">
        <is>
          <t>Manutenção e Desenvolvimento do Ensino Fundamental</t>
        </is>
      </c>
      <c r="C4" s="240" t="n">
        <v>46754637.6</v>
      </c>
    </row>
    <row r="5" ht="34.05" customHeight="1">
      <c r="A5" s="238" t="inlineStr">
        <is>
          <t>12.361</t>
        </is>
      </c>
      <c r="B5" s="239" t="inlineStr">
        <is>
          <t>Remuneração dos Docentes — Ensino Fundamental</t>
        </is>
      </c>
      <c r="C5" s="240" t="n">
        <v>0</v>
      </c>
    </row>
    <row r="6">
      <c r="A6" s="238" t="inlineStr">
        <is>
          <t>12.361</t>
        </is>
      </c>
      <c r="B6" s="239" t="inlineStr">
        <is>
          <t>Tempo Integral — Ensino Fundamental</t>
        </is>
      </c>
      <c r="C6" s="240" t="n">
        <v>0</v>
      </c>
    </row>
    <row r="7">
      <c r="A7" s="238" t="inlineStr">
        <is>
          <t>12.365</t>
        </is>
      </c>
      <c r="B7" s="239" t="inlineStr">
        <is>
          <t>Manutenção e Desenvolvimento da Educação Infantil</t>
        </is>
      </c>
      <c r="C7" s="240" t="n">
        <v>8596722.48</v>
      </c>
    </row>
    <row r="8">
      <c r="A8" s="238" t="inlineStr">
        <is>
          <t>12.365</t>
        </is>
      </c>
      <c r="B8" s="239" t="inlineStr">
        <is>
          <t>VAAT 50% — Educação Infantil</t>
        </is>
      </c>
      <c r="C8" s="240" t="n">
        <v>0</v>
      </c>
    </row>
    <row r="9">
      <c r="A9" s="238" t="inlineStr">
        <is>
          <t>12.365</t>
        </is>
      </c>
      <c r="B9" s="239" t="inlineStr">
        <is>
          <t>Remuneração dos Docentes — Educação Infantil</t>
        </is>
      </c>
      <c r="C9" s="240" t="n">
        <v>0</v>
      </c>
    </row>
    <row r="10">
      <c r="A10" s="238" t="inlineStr">
        <is>
          <t>12.365</t>
        </is>
      </c>
      <c r="B10" s="239" t="inlineStr">
        <is>
          <t>Tempo Integral — Educação Infantil</t>
        </is>
      </c>
      <c r="C10" s="240" t="n">
        <v>0</v>
      </c>
    </row>
    <row r="11">
      <c r="A11" s="238" t="inlineStr">
        <is>
          <t>12.366</t>
        </is>
      </c>
      <c r="B11" s="239" t="inlineStr">
        <is>
          <t>Educação de Jovens e Adultos (EJA)</t>
        </is>
      </c>
      <c r="C11" s="240" t="n">
        <v>1607916.09</v>
      </c>
    </row>
    <row r="12">
      <c r="A12" s="238" t="inlineStr">
        <is>
          <t>12.367</t>
        </is>
      </c>
      <c r="B12" s="239" t="inlineStr">
        <is>
          <t>Atendimento Educacional Especializado (AEE) / Educação Especial</t>
        </is>
      </c>
      <c r="C12" s="240" t="n">
        <v>401625.72</v>
      </c>
    </row>
    <row r="13" ht="15" customHeight="1">
      <c r="A13" s="241" t="inlineStr">
        <is>
          <t>TOTAL</t>
        </is>
      </c>
      <c r="B13" s="242" t="n"/>
      <c r="C13" s="243" t="n">
        <v>57360901.89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44" t="inlineStr">
        <is>
          <t>Profissionais da Educação Básica - Art. 212-A, inciso XI e § 3º - Constituição Federal</t>
        </is>
      </c>
      <c r="B1" s="195" t="n"/>
      <c r="C1" s="195" t="n"/>
      <c r="D1" s="196" t="n"/>
    </row>
    <row r="2" ht="15.6" customHeight="1">
      <c r="A2" s="245" t="inlineStr">
        <is>
          <t>DESCRIÇÃO</t>
        </is>
      </c>
      <c r="B2" s="246" t="inlineStr">
        <is>
          <t>VALOR MÍNIMO EXIGIDO</t>
        </is>
      </c>
      <c r="C2" s="246" t="inlineStr">
        <is>
          <t>VALOR APLICADO</t>
        </is>
      </c>
      <c r="D2" s="247" t="inlineStr">
        <is>
          <t>PERCENTUAL %</t>
        </is>
      </c>
    </row>
    <row r="3" ht="30" customHeight="1">
      <c r="A3" s="248" t="inlineStr">
        <is>
          <t>Mínimo de 50% da Complementação da União ao FUNDEB - (VAAT) na Educação Infantil</t>
        </is>
      </c>
      <c r="B3" s="249" t="n">
        <v>11637614.44</v>
      </c>
      <c r="C3" s="249" t="n">
        <v>13078681.8</v>
      </c>
      <c r="D3" s="250" t="n">
        <v>0.5619</v>
      </c>
    </row>
    <row r="4" ht="15" customHeight="1">
      <c r="A4" s="251" t="inlineStr">
        <is>
          <t>Mínimo de 15% da Complementação da União ao FUNDEB - (VAAT) em Despesas de Capital</t>
        </is>
      </c>
      <c r="B4" s="252" t="n">
        <v>3491284.33</v>
      </c>
      <c r="C4" s="252" t="n">
        <v>7550619.91</v>
      </c>
      <c r="D4" s="253" t="n">
        <v>0.3244</v>
      </c>
    </row>
    <row r="5" ht="34.0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0.0,"parcela_dedutivel_piso_enfermeiro":0.0,"subtotal_deducoes":2435293.72},"despesa_liquida_pessoal_restos_pagar":0.0,"despesa_liquida_com_pessoal":118118956.07,"base_calculo_rcl":223929249.31,"percentual_aplicacao_despesa_pessoal":0.5275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11":{"municipio":"PRESIDENTE DUTRA","exercicio":"2024","receita_prevista_loa":null,"receita_prevista_bo":201430000.0,"receita_prevista_situacao":"N/D","dotacao_inicial_loa":null,"dotacao_inicial_bo":201430000.0,"dotacao_inicial_situacao":"N/D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733547.7,"superavit_exercicio_anterior_fundeb":0.0,"outros_recursos":5189408.82,"rp_sem_disponibilidade_financeira":0.0,"cancelamento_rp_com_disponibilidade":0.0,"total_despesas_para_fins_de_limite":25086051.12,"base_calculo_informada":96055241.78,"percentual_aplicacao_ensino":26.12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56180196.91,"valor_aplicado_remuneracao":57360901.89,"rp_sem_disponibilidade":0.0,"superavit_exercicio_anterior":0.0,"base_calculo":80257424.16,"percentual_aplicado":71.47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DUTRA","exercicio":"2024","unidade_orcamentaria_fundeb":"FUNDO DE MANUT. E DESEN. DA EDUCAÇÃO BÁSICA - FUNDEB","rubricas":[{"codigo_canonico":"FUND_70_MANUT_FUNDAMENTAL","label":"Manutenção e Desenvolvimento do Ensino Fundamental","subfuncao":"361","encontrado":true,"segregado":false,"valor_total":46754637.6,"componentes":[{"codigo_fonte":"12.361.0015.2031.0000","descricao_fonte":"MANUTENÇÃO E FUNCIONAMENTO DO FUNDEB - 70%","valor":46754637.6}],"observacao":"Valor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Infantil","subfuncao":"365","encontrado":true,"segregado":false,"valor_total":8596722.48,"componentes":[{"codigo_fonte":"12.365.0014.2038.0000","descricao_fonte":"MANUT. DO DESENVOL. ENSINO INFANTIL 70% - V AAT 50%","valor":8596722.48}],"observacao":"Valor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Infantil","subfuncao":"365","encontrado":false,"segregado":false,"valor_total":null,"componentes":[],"observacao":"Rubrica não encontrada no Anexo 6 deste município."},{"codigo_canonico":"FUND_70_REMUN_DOCENTES_INFANTIL","label":"Remuneração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(EJA)","subfuncao":"366","encontrado":true,"segregado":true,"valor_total":1607916.09,"componentes":[{"codigo_fonte":"12.366.0053.2071.0000","descricao_fonte":"MANUT. FUNC. DO PROG. EDUC. JOVEM E ADULT O - EJA 70%","valor":1607916.09}],"observacao":""},{"codigo_canonico":"FUND_70_AEE_EDUC_ESPECIAL","label":"Atendimento Educacional Especializado (AEE) / Educação Especial","subfuncao":"367","encontrado":true,"segregado":false,"valor_total":401625.72,"componentes":[{"codigo_fonte":"12.367.0022.2135.0000","descricao_fonte":"MANUTENÇÃO E FUNCIONAMENTO DA EDUCAÇÃ O ESPECIAL 70%","valor":401625.72}],"observacao":"Valor da conta agregada da subfunção (rótulo genérico \"70%\", sem linha própria para esta sub-rubrica) — município não segrega em conta separada."}],"fora_das_9_rubricas":[],"total_fora_das_9_rubricas":0,"total":57360901.89,"acoes":[{"codigo":"12.361.0015.2031.0000","descricao":"MANUTENÇÃO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valor_FUND_70_MANUT_FUNDAMENTAL":46754637.6,"valor_FUND_70_REMUN_DOCENTES_FUNDAMENTAL":0.0,"valor_FUND_70_TEMPO_INTEGRAL_FUNDAMENTAL":0.0,"valor_FUND_70_MANUT_INFANTIL":8596722.48,"valor_FUND_70_VAAT50_INFANTIL":0.0,"valor_FUND_70_REMUN_DOCENTES_INFANTIL":0.0,"valor_FUND_70_TEMPO_INTEGRAL_INFANTIL":0.0,"valor_FUND_70_EJA":1607916.09,"valor_FUND_70_AEE_EDUC_ESPECIAL":401625.72},"quadro_27":{"municipio":"PRESIDENTE DUTRA","exercicio":"2024","minimo_exigido_infantil":11637614.44,"valor_aplicado_infantil":13078681.8,"percentual_aplicado_infantil":56.19,"minimo_exigido_capital":3491284.33,"valor_aplicado_capital":7550619.91,"percentual_aplicado_capital":32.44,"base_calculo_vaat":23275228.88,"detalhamento_infantil":{"12.365.0014.1041":3924559.32,"12.365.0014.2038":8596722.48,"12.365.0014.2072":557400.0},"detalhamento_capital":{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54" t="inlineStr">
        <is>
          <t>DADOS PARA PREENCHIMENTO MANUAL — PRESIDENTE DUTRA  /  EXERCÍCIO 2024</t>
        </is>
      </c>
    </row>
    <row r="2" ht="18" customHeight="1">
      <c r="A2" s="255" t="inlineStr">
        <is>
          <t>Preencha a coluna B (VALOR). Após salvar, re-envie este arquivo para gerar o Relatório RIT.</t>
        </is>
      </c>
    </row>
    <row r="3" ht="20" customHeight="1">
      <c r="A3" s="256" t="inlineStr">
        <is>
          <t>CAMPO</t>
        </is>
      </c>
      <c r="B3" s="256" t="inlineStr">
        <is>
          <t>VALOR</t>
        </is>
      </c>
      <c r="C3" s="256" t="inlineStr">
        <is>
          <t>DESCRIÇÃO</t>
        </is>
      </c>
      <c r="D3" s="256" t="inlineStr">
        <is>
          <t>EXEMPLO</t>
        </is>
      </c>
    </row>
    <row r="4" ht="18" customHeight="1">
      <c r="A4" s="257" t="inlineStr">
        <is>
          <t xml:space="preserve">  IDENTIFICAÇÃO DO PROCESSO</t>
        </is>
      </c>
    </row>
    <row r="5" ht="16" customHeight="1">
      <c r="A5" s="258" t="inlineStr">
        <is>
          <t>rit_numero</t>
        </is>
      </c>
      <c r="B5" s="259" t="inlineStr"/>
      <c r="C5" s="260" t="inlineStr">
        <is>
          <t>Número do RIT</t>
        </is>
      </c>
      <c r="D5" s="260" t="inlineStr">
        <is>
          <t>RIT-001/2024</t>
        </is>
      </c>
    </row>
    <row r="6" ht="16" customHeight="1">
      <c r="A6" s="258" t="inlineStr">
        <is>
          <t>processo_numero</t>
        </is>
      </c>
      <c r="B6" s="259" t="inlineStr"/>
      <c r="C6" s="260" t="inlineStr">
        <is>
          <t>Número do processo</t>
        </is>
      </c>
      <c r="D6" s="260" t="inlineStr">
        <is>
          <t>00100-2024</t>
        </is>
      </c>
    </row>
    <row r="7" ht="16" customHeight="1">
      <c r="A7" s="258" t="inlineStr">
        <is>
          <t>processo_ano</t>
        </is>
      </c>
      <c r="B7" s="259" t="inlineStr"/>
      <c r="C7" s="260" t="inlineStr">
        <is>
          <t>Ano do processo</t>
        </is>
      </c>
      <c r="D7" s="260" t="inlineStr">
        <is>
          <t>2024</t>
        </is>
      </c>
    </row>
    <row r="8" ht="16" customHeight="1">
      <c r="A8" s="258" t="inlineStr">
        <is>
          <t>relator_nome</t>
        </is>
      </c>
      <c r="B8" s="259" t="inlineStr"/>
      <c r="C8" s="260" t="inlineStr">
        <is>
          <t>Nome do relator (TCE)</t>
        </is>
      </c>
      <c r="D8" s="260" t="inlineStr">
        <is>
          <t>Conselheiro João da Silva</t>
        </is>
      </c>
    </row>
    <row r="9" ht="18" customHeight="1">
      <c r="A9" s="257" t="inlineStr">
        <is>
          <t xml:space="preserve">  RESPONSÁVEL PELO MUNICÍPIO</t>
        </is>
      </c>
    </row>
    <row r="10" ht="16" customHeight="1">
      <c r="A10" s="258" t="inlineStr">
        <is>
          <t>responsavel_nome</t>
        </is>
      </c>
      <c r="B10" s="259" t="inlineStr"/>
      <c r="C10" s="260" t="inlineStr">
        <is>
          <t>Nome do responsável (Prefeito/a)</t>
        </is>
      </c>
      <c r="D10" s="260" t="inlineStr">
        <is>
          <t>Maria Souza</t>
        </is>
      </c>
    </row>
    <row r="11" ht="16" customHeight="1">
      <c r="A11" s="258" t="inlineStr">
        <is>
          <t>responsavel_cpf</t>
        </is>
      </c>
      <c r="B11" s="259" t="inlineStr"/>
      <c r="C11" s="260" t="inlineStr">
        <is>
          <t>CPF do responsável</t>
        </is>
      </c>
      <c r="D11" s="260" t="inlineStr">
        <is>
          <t>000.000.000-00</t>
        </is>
      </c>
    </row>
    <row r="12" ht="18" customHeight="1">
      <c r="A12" s="257" t="inlineStr">
        <is>
          <t xml:space="preserve">  LOCALIZAÇÃO GEOGRÁFICA</t>
        </is>
      </c>
    </row>
    <row r="13" ht="16" customHeight="1">
      <c r="A13" s="258" t="inlineStr">
        <is>
          <t>municipio_uf</t>
        </is>
      </c>
      <c r="B13" s="259" t="inlineStr"/>
      <c r="C13" s="260" t="inlineStr">
        <is>
          <t>Sigla do estado (ex: MA)</t>
        </is>
      </c>
      <c r="D13" s="260" t="inlineStr">
        <is>
          <t>MA</t>
        </is>
      </c>
    </row>
    <row r="14" ht="16" customHeight="1">
      <c r="A14" s="258" t="inlineStr">
        <is>
          <t>municipio_estado</t>
        </is>
      </c>
      <c r="B14" s="259" t="inlineStr"/>
      <c r="C14" s="260" t="inlineStr">
        <is>
          <t>Estado por extenso</t>
        </is>
      </c>
      <c r="D14" s="260" t="inlineStr">
        <is>
          <t>Maranhão</t>
        </is>
      </c>
    </row>
    <row r="15" ht="16" customHeight="1">
      <c r="A15" s="258" t="inlineStr">
        <is>
          <t>municipio_regiao</t>
        </is>
      </c>
      <c r="B15" s="259" t="inlineStr"/>
      <c r="C15" s="260" t="inlineStr">
        <is>
          <t>Mesorregião / região</t>
        </is>
      </c>
      <c r="D15" s="260" t="inlineStr">
        <is>
          <t>Baixada Maranhense</t>
        </is>
      </c>
    </row>
    <row r="16" ht="18" customHeight="1">
      <c r="A16" s="257" t="inlineStr">
        <is>
          <t xml:space="preserve">  PERFIL SOCIOECONÔMICO</t>
        </is>
      </c>
    </row>
    <row r="17" ht="16" customHeight="1">
      <c r="A17" s="258" t="inlineStr">
        <is>
          <t>populacao_estimada</t>
        </is>
      </c>
      <c r="B17" s="259" t="inlineStr"/>
      <c r="C17" s="260" t="inlineStr">
        <is>
          <t>População estimada (hab.)</t>
        </is>
      </c>
      <c r="D17" s="260" t="inlineStr">
        <is>
          <t>48000</t>
        </is>
      </c>
    </row>
    <row r="18" ht="16" customHeight="1">
      <c r="A18" s="258" t="inlineStr">
        <is>
          <t>area_territorial</t>
        </is>
      </c>
      <c r="B18" s="259" t="inlineStr"/>
      <c r="C18" s="260" t="inlineStr">
        <is>
          <t>Área territorial (km²)</t>
        </is>
      </c>
      <c r="D18" s="260" t="inlineStr">
        <is>
          <t>5273.40</t>
        </is>
      </c>
    </row>
    <row r="19" ht="16" customHeight="1">
      <c r="A19" s="258" t="inlineStr">
        <is>
          <t>pib_per_capita</t>
        </is>
      </c>
      <c r="B19" s="259" t="inlineStr"/>
      <c r="C19" s="260" t="inlineStr">
        <is>
          <t>PIB per capita (R$)</t>
        </is>
      </c>
      <c r="D19" s="260" t="inlineStr">
        <is>
          <t>12300.00</t>
        </is>
      </c>
    </row>
    <row r="20" ht="16" customHeight="1">
      <c r="A20" s="258" t="inlineStr">
        <is>
          <t>idh</t>
        </is>
      </c>
      <c r="B20" s="259" t="inlineStr"/>
      <c r="C20" s="260" t="inlineStr">
        <is>
          <t>IDH (0,000 a 1,000)</t>
        </is>
      </c>
      <c r="D20" s="260" t="inlineStr">
        <is>
          <t>0.619</t>
        </is>
      </c>
    </row>
    <row r="21" ht="16" customHeight="1">
      <c r="A21" s="258" t="inlineStr">
        <is>
          <t>classificacao_idh</t>
        </is>
      </c>
      <c r="B21" s="259" t="inlineStr"/>
      <c r="C21" s="260" t="inlineStr">
        <is>
          <t>Classificação do IDH</t>
        </is>
      </c>
      <c r="D21" s="260" t="inlineStr">
        <is>
          <t>Médio Desenvolvimento</t>
        </is>
      </c>
    </row>
    <row r="22" ht="16" customHeight="1">
      <c r="A22" s="258" t="inlineStr">
        <is>
          <t>ideb</t>
        </is>
      </c>
      <c r="B22" s="259" t="inlineStr"/>
      <c r="C22" s="260" t="inlineStr">
        <is>
          <t>IDEB (0,0 a 10,0)</t>
        </is>
      </c>
      <c r="D22" s="260" t="inlineStr">
        <is>
          <t>4.2</t>
        </is>
      </c>
    </row>
    <row r="23" ht="16" customHeight="1">
      <c r="A23" s="258" t="inlineStr">
        <is>
          <t>classificacao_ideb</t>
        </is>
      </c>
      <c r="B23" s="259" t="inlineStr"/>
      <c r="C23" s="260" t="inlineStr">
        <is>
          <t>Classificação do IDEB</t>
        </is>
      </c>
      <c r="D23" s="260" t="inlineStr">
        <is>
          <t>Abaixo da Meta Nacional</t>
        </is>
      </c>
    </row>
    <row r="24" ht="16" customHeight="1">
      <c r="A24" s="258" t="inlineStr">
        <is>
          <t>descricao_atividades</t>
        </is>
      </c>
      <c r="B24" s="259" t="inlineStr"/>
      <c r="C24" s="260" t="inlineStr">
        <is>
          <t>Principais atividades econômicas</t>
        </is>
      </c>
      <c r="D24" s="260" t="inlineStr">
        <is>
          <t>Comércio, agropecuária e serviços públicos</t>
        </is>
      </c>
    </row>
    <row r="25" ht="18" customHeight="1">
      <c r="A25" s="257" t="inlineStr">
        <is>
          <t xml:space="preserve">  CÂMARA MUNICIPAL</t>
        </is>
      </c>
    </row>
    <row r="26" ht="16" customHeight="1">
      <c r="A26" s="258" t="inlineStr">
        <is>
          <t>camara_pct_limite</t>
        </is>
      </c>
      <c r="B26" s="259" t="inlineStr"/>
      <c r="C26" s="260" t="inlineStr">
        <is>
          <t>Limite legal da Câmara (% da RCL)</t>
        </is>
      </c>
      <c r="D26" s="260" t="inlineStr">
        <is>
          <t>3.5</t>
        </is>
      </c>
    </row>
    <row r="27" ht="16" customHeight="1">
      <c r="A27" s="258" t="inlineStr">
        <is>
          <t>camara_repassado</t>
        </is>
      </c>
      <c r="B27" s="259" t="inlineStr"/>
      <c r="C27" s="260" t="inlineStr">
        <is>
          <t>Valor total repassado à Câmara (R$)</t>
        </is>
      </c>
      <c r="D27" s="260" t="inlineStr">
        <is>
          <t>1500000.00</t>
        </is>
      </c>
    </row>
    <row r="28" ht="16" customHeight="1">
      <c r="A28" s="258" t="inlineStr">
        <is>
          <t>camara_pct_apurado</t>
        </is>
      </c>
      <c r="B28" s="259" t="inlineStr"/>
      <c r="C28" s="260" t="inlineStr">
        <is>
          <t>Percentual apurado (%)</t>
        </is>
      </c>
      <c r="D28" s="260" t="inlineStr">
        <is>
          <t>3.20</t>
        </is>
      </c>
    </row>
    <row r="29" ht="16" customHeight="1">
      <c r="A29" s="258" t="inlineStr">
        <is>
          <t>camara_sit_limite</t>
        </is>
      </c>
      <c r="B29" s="259" t="inlineStr"/>
      <c r="C29" s="260" t="inlineStr">
        <is>
          <t>Situação do repasse vs. limite</t>
        </is>
      </c>
      <c r="D29" s="260" t="inlineStr">
        <is>
          <t>Dentro do limite</t>
        </is>
      </c>
    </row>
    <row r="30" ht="16" customHeight="1">
      <c r="A30" s="258" t="inlineStr">
        <is>
          <t>camara_prazo</t>
        </is>
      </c>
      <c r="B30" s="259" t="inlineStr"/>
      <c r="C30" s="260" t="inlineStr">
        <is>
          <t>Situação do prazo de repasse</t>
        </is>
      </c>
      <c r="D30" s="260" t="inlineStr">
        <is>
          <t>Repassado até o dia 20</t>
        </is>
      </c>
    </row>
    <row r="31" ht="18" customHeight="1">
      <c r="A31" s="257" t="inlineStr">
        <is>
          <t xml:space="preserve">  TRANSPARÊNCIA</t>
        </is>
      </c>
    </row>
    <row r="32" ht="16" customHeight="1">
      <c r="A32" s="258" t="inlineStr">
        <is>
          <t>transp_faixa</t>
        </is>
      </c>
      <c r="B32" s="259" t="inlineStr"/>
      <c r="C32" s="260" t="inlineStr">
        <is>
          <t>Faixa de transparência obtida</t>
        </is>
      </c>
      <c r="D32" s="260" t="inlineStr">
        <is>
          <t>Diamante</t>
        </is>
      </c>
    </row>
    <row r="33" ht="18" customHeight="1">
      <c r="A33" s="257" t="inlineStr">
        <is>
          <t xml:space="preserve">  DÍVIDA CONSOLIDADA (Q7 — preencher manualmente)</t>
        </is>
      </c>
    </row>
    <row r="34" ht="16" customHeight="1">
      <c r="A34" s="258" t="inlineStr">
        <is>
          <t>divida_saldo</t>
        </is>
      </c>
      <c r="B34" s="259" t="inlineStr"/>
      <c r="C34" s="260" t="inlineStr">
        <is>
          <t>Saldo da DCL (R$)</t>
        </is>
      </c>
      <c r="D34" s="260" t="inlineStr">
        <is>
          <t>0.00</t>
        </is>
      </c>
    </row>
    <row r="35" ht="16" customHeight="1">
      <c r="A35" s="258" t="inlineStr">
        <is>
          <t>divida_pct_rcl</t>
        </is>
      </c>
      <c r="B35" s="259" t="inlineStr"/>
      <c r="C35" s="260" t="inlineStr">
        <is>
          <t>DCL apurada (% da RCL)</t>
        </is>
      </c>
      <c r="D35" s="260" t="inlineStr">
        <is>
          <t>0.00</t>
        </is>
      </c>
    </row>
    <row r="36" ht="16" customHeight="1">
      <c r="A36" s="258" t="inlineStr">
        <is>
          <t>divida_limite</t>
        </is>
      </c>
      <c r="B36" s="259" t="inlineStr"/>
      <c r="C36" s="260" t="inlineStr">
        <is>
          <t>Limite legal da DCL (% da RCL)</t>
        </is>
      </c>
      <c r="D36" s="260" t="inlineStr">
        <is>
          <t>120</t>
        </is>
      </c>
    </row>
    <row r="37" ht="16" customHeight="1">
      <c r="A37" s="258" t="inlineStr">
        <is>
          <t>divida_alerta</t>
        </is>
      </c>
      <c r="B37" s="259" t="inlineStr"/>
      <c r="C37" s="260" t="inlineStr">
        <is>
          <t>Patamar de alerta da DCL (% da RCL)</t>
        </is>
      </c>
      <c r="D37" s="260" t="inlineStr">
        <is>
          <t>90</t>
        </is>
      </c>
    </row>
    <row r="38" ht="16" customHeight="1">
      <c r="A38" s="258" t="inlineStr">
        <is>
          <t>divida_situacao</t>
        </is>
      </c>
      <c r="B38" s="259" t="inlineStr"/>
      <c r="C38" s="260" t="inlineStr">
        <is>
          <t>Situação da dívida</t>
        </is>
      </c>
      <c r="D38" s="260" t="inlineStr">
        <is>
          <t>Dentro do limite</t>
        </is>
      </c>
    </row>
    <row r="39" ht="18" customHeight="1">
      <c r="A39" s="257" t="inlineStr">
        <is>
          <t xml:space="preserve">  DESPESA COM PESSOAL — COMPLEMENTOS</t>
        </is>
      </c>
    </row>
    <row r="40" ht="16" customHeight="1">
      <c r="A40" s="258" t="inlineStr">
        <is>
          <t>dp_pct_inicio_sem</t>
        </is>
      </c>
      <c r="B40" s="259" t="inlineStr"/>
      <c r="C40" s="260" t="inlineStr">
        <is>
          <t>% Pessoal início do 1º semestre</t>
        </is>
      </c>
      <c r="D40" s="260" t="inlineStr">
        <is>
          <t>51.20</t>
        </is>
      </c>
    </row>
    <row r="41" ht="16" customHeight="1">
      <c r="A41" s="258" t="inlineStr">
        <is>
          <t>dp_regime_especial</t>
        </is>
      </c>
      <c r="B41" s="259" t="inlineStr"/>
      <c r="C41" s="260" t="inlineStr">
        <is>
          <t>Regime especial LRF art. 23 ativo?</t>
        </is>
      </c>
      <c r="D41" s="260" t="inlineStr">
        <is>
          <t>Não</t>
        </is>
      </c>
    </row>
    <row r="42" ht="16" customHeight="1">
      <c r="A42" s="258" t="inlineStr">
        <is>
          <t>dp_restricao_mandato</t>
        </is>
      </c>
      <c r="B42" s="259" t="inlineStr"/>
      <c r="C42" s="260" t="inlineStr">
        <is>
          <t>Observações sobre restrições</t>
        </is>
      </c>
      <c r="D42" s="260" t="inlineStr">
        <is>
          <t>Não se aplica</t>
        </is>
      </c>
    </row>
    <row r="43" ht="18" customHeight="1">
      <c r="A43" s="257" t="inlineStr">
        <is>
          <t xml:space="preserve">  COMPARATIVO LOA x BALANÇO ORÇAMENTÁRIO (Q11 — preencher se a LOA não foi enviada)</t>
        </is>
      </c>
    </row>
    <row r="44" ht="16" customHeight="1">
      <c r="A44" s="258" t="inlineStr">
        <is>
          <t>q11_loa_receita</t>
        </is>
      </c>
      <c r="B44" s="259" t="inlineStr"/>
      <c r="C44" s="260" t="inlineStr">
        <is>
          <t>Receita prevista na LOA (R$)</t>
        </is>
      </c>
      <c r="D44" s="260" t="inlineStr">
        <is>
          <t>50000000.00</t>
        </is>
      </c>
    </row>
    <row r="45" ht="16" customHeight="1">
      <c r="A45" s="258" t="inlineStr">
        <is>
          <t>q11_loa_despesa</t>
        </is>
      </c>
      <c r="B45" s="259" t="inlineStr"/>
      <c r="C45" s="260" t="inlineStr">
        <is>
          <t>Dotação inicial da despesa na LOA (R$)</t>
        </is>
      </c>
      <c r="D45" s="260" t="inlineStr">
        <is>
          <t>50000000.00</t>
        </is>
      </c>
    </row>
    <row r="46" ht="18" customHeight="1">
      <c r="A46" s="257" t="inlineStr">
        <is>
          <t xml:space="preserve">  PROCESSO ORÇAMENTÁRIO</t>
        </is>
      </c>
    </row>
    <row r="47" ht="16" customHeight="1">
      <c r="A47" s="258" t="inlineStr">
        <is>
          <t>proc_envio</t>
        </is>
      </c>
      <c r="B47" s="259" t="inlineStr"/>
      <c r="C47" s="260" t="inlineStr">
        <is>
          <t>Situação do envio das peças ao TCE</t>
        </is>
      </c>
      <c r="D47" s="260" t="inlineStr">
        <is>
          <t>Enviado dentro do prazo</t>
        </is>
      </c>
    </row>
    <row r="48" ht="16" customHeight="1">
      <c r="A48" s="258" t="inlineStr">
        <is>
          <t>proc_publicacao</t>
        </is>
      </c>
      <c r="B48" s="259" t="inlineStr"/>
      <c r="C48" s="260" t="inlineStr">
        <is>
          <t>Situação da publicação da LOA</t>
        </is>
      </c>
      <c r="D48" s="260" t="inlineStr">
        <is>
          <t>Publicada em 28/12/2023</t>
        </is>
      </c>
    </row>
    <row r="49" ht="18" customHeight="1">
      <c r="A49" s="257" t="inlineStr">
        <is>
          <t xml:space="preserve">  ESCRITURAÇÃO CONTÁBIL</t>
        </is>
      </c>
    </row>
    <row r="50" ht="16" customHeight="1">
      <c r="A50" s="258" t="inlineStr">
        <is>
          <t>escrit_relatorio</t>
        </is>
      </c>
      <c r="B50" s="259" t="inlineStr"/>
      <c r="C50" s="260" t="inlineStr">
        <is>
          <t>Situação do Relatório de Gestão Fiscal</t>
        </is>
      </c>
      <c r="D50" s="260" t="inlineStr">
        <is>
          <t>Publicado nos prazos</t>
        </is>
      </c>
    </row>
    <row r="51" ht="16" customHeight="1">
      <c r="A51" s="258" t="inlineStr">
        <is>
          <t>escrit_assinatura</t>
        </is>
      </c>
      <c r="B51" s="259" t="inlineStr"/>
      <c r="C51" s="260" t="inlineStr">
        <is>
          <t>Situação das assinaturas das peças</t>
        </is>
      </c>
      <c r="D51" s="260" t="inlineStr">
        <is>
          <t>Devidamente assinadas</t>
        </is>
      </c>
    </row>
    <row r="52" ht="16" customHeight="1">
      <c r="A52" s="258" t="inlineStr">
        <is>
          <t>contabil_apres</t>
        </is>
      </c>
      <c r="B52" s="259" t="inlineStr"/>
      <c r="C52" s="260" t="inlineStr">
        <is>
          <t>Demonstrações foram apresentadas?</t>
        </is>
      </c>
      <c r="D52" s="260" t="inlineStr">
        <is>
          <t>Apresentadas</t>
        </is>
      </c>
    </row>
    <row r="53" ht="16" customHeight="1">
      <c r="A53" s="258" t="inlineStr">
        <is>
          <t>contabil_conform</t>
        </is>
      </c>
      <c r="B53" s="259" t="inlineStr"/>
      <c r="C53" s="260" t="inlineStr">
        <is>
          <t>Conformidade geral da escrituração</t>
        </is>
      </c>
      <c r="D53" s="260" t="inlineStr">
        <is>
          <t>Conforme</t>
        </is>
      </c>
    </row>
    <row r="54" ht="16" customHeight="1">
      <c r="A54" s="258" t="inlineStr">
        <is>
          <t>dep_inconsistencia</t>
        </is>
      </c>
      <c r="B54" s="259" t="inlineStr"/>
      <c r="C54" s="260" t="inlineStr">
        <is>
          <t>Inconsistência de depósitos (Q16)</t>
        </is>
      </c>
      <c r="D54" s="260" t="inlineStr">
        <is>
          <t>Sem inconsistência</t>
        </is>
      </c>
    </row>
    <row r="55" ht="18" customHeight="1">
      <c r="A55" s="257" t="inlineStr">
        <is>
          <t xml:space="preserve">  OBSERVAÇÕES GERAIS</t>
        </is>
      </c>
    </row>
    <row r="56" ht="16" customHeight="1">
      <c r="A56" s="258" t="inlineStr">
        <is>
          <t>obs_gerais</t>
        </is>
      </c>
      <c r="B56" s="259" t="inlineStr"/>
      <c r="C56" s="260" t="inlineStr">
        <is>
          <t>Observações adicionais</t>
        </is>
      </c>
      <c r="D56" s="260" t="inlineStr"/>
    </row>
  </sheetData>
  <mergeCells count="14">
    <mergeCell ref="A1:D1"/>
    <mergeCell ref="A9:D9"/>
    <mergeCell ref="A31:D31"/>
    <mergeCell ref="A12:D12"/>
    <mergeCell ref="A4:D4"/>
    <mergeCell ref="A39:D39"/>
    <mergeCell ref="A55:D55"/>
    <mergeCell ref="A25:D25"/>
    <mergeCell ref="A43:D43"/>
    <mergeCell ref="A2:D2"/>
    <mergeCell ref="A16:D16"/>
    <mergeCell ref="A33:D33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2026-07-16T15:01:19Z</dcterms:created>
  <dcterms:modified xsi:type="dcterms:W3CDTF">2026-07-16T15:01:19Z</dcterms:modified>
</cp:coreProperties>
</file>