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pivotButton="0" quotePrefix="0" xfId="0"/>
    <xf numFmtId="164" fontId="9" fillId="9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9" borderId="5" pivotButton="0" quotePrefix="0" xfId="0"/>
    <xf numFmtId="164" fontId="9" fillId="9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8" borderId="9" pivotButton="0" quotePrefix="0" xfId="0"/>
    <xf numFmtId="164" fontId="8" fillId="8" borderId="10" applyAlignment="1" pivotButton="0" quotePrefix="0" xfId="0">
      <alignment horizontal="right"/>
    </xf>
    <xf numFmtId="0" fontId="11" fillId="7" borderId="0" pivotButton="0" quotePrefix="0" xfId="0"/>
    <xf numFmtId="0" fontId="7" fillId="0" borderId="0" pivotButton="0" quotePrefix="0" xfId="0"/>
    <xf numFmtId="0" fontId="12" fillId="8" borderId="11" applyAlignment="1" pivotButton="0" quotePrefix="0" xfId="0">
      <alignment horizontal="center"/>
    </xf>
    <xf numFmtId="0" fontId="12" fillId="8" borderId="12" applyAlignment="1" pivotButton="0" quotePrefix="0" xfId="0">
      <alignment horizontal="center"/>
    </xf>
    <xf numFmtId="0" fontId="12" fillId="8" borderId="13" applyAlignment="1" pivotButton="0" quotePrefix="0" xfId="0">
      <alignment horizontal="center"/>
    </xf>
    <xf numFmtId="165" fontId="13" fillId="7" borderId="14" applyAlignment="1" pivotButton="0" quotePrefix="0" xfId="0">
      <alignment horizontal="right"/>
    </xf>
    <xf numFmtId="165" fontId="13" fillId="7" borderId="15" applyAlignment="1" pivotButton="0" quotePrefix="0" xfId="0">
      <alignment horizontal="right"/>
    </xf>
    <xf numFmtId="0" fontId="14" fillId="10" borderId="16" applyAlignment="1" pivotButton="0" quotePrefix="0" xfId="0">
      <alignment horizontal="left"/>
    </xf>
    <xf numFmtId="0" fontId="11" fillId="0" borderId="0" pivotButton="0" quotePrefix="0" xfId="0"/>
    <xf numFmtId="0" fontId="12" fillId="8" borderId="17" applyAlignment="1" pivotButton="0" quotePrefix="0" xfId="0">
      <alignment horizontal="left"/>
    </xf>
    <xf numFmtId="0" fontId="12" fillId="8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0" borderId="19" applyAlignment="1" pivotButton="0" quotePrefix="0" xfId="0">
      <alignment vertical="center" wrapText="1"/>
    </xf>
    <xf numFmtId="165" fontId="14" fillId="10" borderId="20" applyAlignment="1" pivotButton="0" quotePrefix="0" xfId="0">
      <alignment horizontal="right"/>
    </xf>
    <xf numFmtId="0" fontId="12" fillId="8" borderId="14" applyAlignment="1" pivotButton="0" quotePrefix="0" xfId="0">
      <alignment vertical="center" wrapText="1"/>
    </xf>
    <xf numFmtId="165" fontId="12" fillId="8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8" borderId="21" applyAlignment="1" pivotButton="0" quotePrefix="0" xfId="0">
      <alignment vertical="center" wrapText="1"/>
    </xf>
    <xf numFmtId="0" fontId="8" fillId="8" borderId="22" applyAlignment="1" pivotButton="0" quotePrefix="0" xfId="0">
      <alignment horizontal="center" vertical="center" wrapText="1"/>
    </xf>
    <xf numFmtId="0" fontId="20" fillId="7" borderId="23" applyAlignment="1" pivotButton="0" quotePrefix="0" xfId="0">
      <alignment vertical="center" wrapText="1"/>
    </xf>
    <xf numFmtId="166" fontId="18" fillId="7" borderId="24" applyAlignment="1" pivotButton="0" quotePrefix="0" xfId="0">
      <alignment horizontal="right"/>
    </xf>
    <xf numFmtId="0" fontId="18" fillId="7" borderId="23" applyAlignment="1" pivotButton="0" quotePrefix="0" xfId="0">
      <alignment vertical="center" wrapText="1"/>
    </xf>
    <xf numFmtId="0" fontId="8" fillId="8" borderId="23" applyAlignment="1" pivotButton="0" quotePrefix="0" xfId="0">
      <alignment vertical="center" wrapText="1"/>
    </xf>
    <xf numFmtId="166" fontId="8" fillId="8" borderId="24" applyAlignment="1" pivotButton="0" quotePrefix="0" xfId="0">
      <alignment horizontal="right"/>
    </xf>
    <xf numFmtId="164" fontId="8" fillId="8" borderId="23" applyAlignment="1" pivotButton="0" quotePrefix="0" xfId="0">
      <alignment horizontal="right"/>
    </xf>
    <xf numFmtId="166" fontId="8" fillId="8" borderId="24" applyAlignment="1" pivotButton="0" quotePrefix="0" xfId="0">
      <alignment vertical="center" wrapText="1"/>
    </xf>
    <xf numFmtId="0" fontId="8" fillId="8" borderId="25" applyAlignment="1" pivotButton="0" quotePrefix="0" xfId="0">
      <alignment vertical="center" wrapText="1"/>
    </xf>
    <xf numFmtId="167" fontId="18" fillId="7" borderId="24" applyAlignment="1" pivotButton="0" quotePrefix="0" xfId="0">
      <alignment horizontal="right"/>
    </xf>
    <xf numFmtId="0" fontId="12" fillId="8" borderId="26" applyAlignment="1" pivotButton="0" quotePrefix="0" xfId="0">
      <alignment horizontal="left" vertical="center"/>
    </xf>
    <xf numFmtId="0" fontId="12" fillId="8" borderId="26" applyAlignment="1" pivotButton="0" quotePrefix="0" xfId="0">
      <alignment vertical="center"/>
    </xf>
    <xf numFmtId="0" fontId="13" fillId="7" borderId="26" applyAlignment="1" pivotButton="0" quotePrefix="0" xfId="0">
      <alignment horizontal="left" vertical="center"/>
    </xf>
    <xf numFmtId="168" fontId="13" fillId="7" borderId="26" applyAlignment="1" pivotButton="0" quotePrefix="0" xfId="0">
      <alignment horizontal="right"/>
    </xf>
    <xf numFmtId="0" fontId="13" fillId="11" borderId="26" applyAlignment="1" pivotButton="0" quotePrefix="0" xfId="0">
      <alignment horizontal="left" vertical="center"/>
    </xf>
    <xf numFmtId="168" fontId="13" fillId="11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 wrapText="1"/>
    </xf>
    <xf numFmtId="168" fontId="21" fillId="12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/>
    </xf>
    <xf numFmtId="167" fontId="21" fillId="12" borderId="26" applyAlignment="1" pivotButton="0" quotePrefix="0" xfId="0">
      <alignment horizontal="right"/>
    </xf>
    <xf numFmtId="0" fontId="12" fillId="8" borderId="27" applyAlignment="1" pivotButton="0" quotePrefix="0" xfId="0">
      <alignment horizontal="left" vertical="center"/>
    </xf>
    <xf numFmtId="0" fontId="12" fillId="8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2" borderId="27" applyAlignment="1" pivotButton="0" quotePrefix="0" xfId="0">
      <alignment horizontal="left" vertical="center" wrapText="1"/>
    </xf>
    <xf numFmtId="168" fontId="21" fillId="12" borderId="27" applyAlignment="1" pivotButton="0" quotePrefix="0" xfId="0">
      <alignment horizontal="right"/>
    </xf>
    <xf numFmtId="0" fontId="13" fillId="11" borderId="27" applyAlignment="1" pivotButton="0" quotePrefix="0" xfId="0">
      <alignment horizontal="left" vertical="center" wrapText="1"/>
    </xf>
    <xf numFmtId="168" fontId="13" fillId="11" borderId="27" applyAlignment="1" pivotButton="0" quotePrefix="0" xfId="0">
      <alignment horizontal="right"/>
    </xf>
    <xf numFmtId="0" fontId="13" fillId="7" borderId="27" applyAlignment="1" pivotButton="0" quotePrefix="0" xfId="0">
      <alignment horizontal="left" vertical="center" wrapText="1"/>
    </xf>
    <xf numFmtId="168" fontId="13" fillId="7" borderId="27" applyAlignment="1" pivotButton="0" quotePrefix="0" xfId="0">
      <alignment horizontal="right"/>
    </xf>
    <xf numFmtId="168" fontId="13" fillId="11" borderId="27" applyAlignment="1" pivotButton="0" quotePrefix="0" xfId="0">
      <alignment horizontal="left" vertical="center"/>
    </xf>
    <xf numFmtId="10" fontId="13" fillId="7" borderId="27" applyAlignment="1" pivotButton="0" quotePrefix="0" xfId="0">
      <alignment horizontal="right"/>
    </xf>
    <xf numFmtId="10" fontId="13" fillId="11" borderId="27" applyAlignment="1" pivotButton="0" quotePrefix="0" xfId="0">
      <alignment horizontal="right"/>
    </xf>
    <xf numFmtId="0" fontId="12" fillId="8" borderId="30" applyAlignment="1" pivotButton="0" quotePrefix="0" xfId="0">
      <alignment horizontal="left" vertical="center" wrapText="1"/>
    </xf>
    <xf numFmtId="0" fontId="12" fillId="8" borderId="31" applyAlignment="1" pivotButton="0" quotePrefix="0" xfId="0">
      <alignment horizontal="center" vertical="center" wrapText="1"/>
    </xf>
    <xf numFmtId="0" fontId="12" fillId="8" borderId="32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left" vertical="center" indent="1"/>
    </xf>
    <xf numFmtId="169" fontId="15" fillId="7" borderId="34" applyAlignment="1" pivotButton="0" quotePrefix="0" xfId="0">
      <alignment horizontal="right"/>
    </xf>
    <xf numFmtId="169" fontId="15" fillId="7" borderId="35" applyAlignment="1" pivotButton="0" quotePrefix="0" xfId="0">
      <alignment horizontal="right"/>
    </xf>
    <xf numFmtId="0" fontId="15" fillId="11" borderId="33" applyAlignment="1" pivotButton="0" quotePrefix="0" xfId="0">
      <alignment horizontal="left" vertical="center" indent="1"/>
    </xf>
    <xf numFmtId="169" fontId="15" fillId="11" borderId="34" applyAlignment="1" pivotButton="0" quotePrefix="0" xfId="0">
      <alignment horizontal="right"/>
    </xf>
    <xf numFmtId="169" fontId="15" fillId="11" borderId="35" applyAlignment="1" pivotButton="0" quotePrefix="0" xfId="0">
      <alignment horizontal="right"/>
    </xf>
    <xf numFmtId="0" fontId="22" fillId="13" borderId="33" applyAlignment="1" pivotButton="0" quotePrefix="0" xfId="0">
      <alignment horizontal="left" vertical="center" indent="1"/>
    </xf>
    <xf numFmtId="169" fontId="22" fillId="13" borderId="34" applyAlignment="1" pivotButton="0" quotePrefix="0" xfId="0">
      <alignment horizontal="right"/>
    </xf>
    <xf numFmtId="169" fontId="22" fillId="13" borderId="35" applyAlignment="1" pivotButton="0" quotePrefix="0" xfId="0">
      <alignment horizontal="right"/>
    </xf>
    <xf numFmtId="0" fontId="15" fillId="11" borderId="36" applyAlignment="1" pivotButton="0" quotePrefix="0" xfId="0">
      <alignment horizontal="left" vertical="center" indent="1"/>
    </xf>
    <xf numFmtId="169" fontId="15" fillId="11" borderId="37" applyAlignment="1" pivotButton="0" quotePrefix="0" xfId="0">
      <alignment horizontal="right"/>
    </xf>
    <xf numFmtId="169" fontId="15" fillId="11" borderId="38" applyAlignment="1" pivotButton="0" quotePrefix="0" xfId="0">
      <alignment horizontal="right"/>
    </xf>
    <xf numFmtId="0" fontId="22" fillId="12" borderId="30" applyAlignment="1" pivotButton="0" quotePrefix="0" xfId="0">
      <alignment horizontal="left" vertical="center" indent="1"/>
    </xf>
    <xf numFmtId="169" fontId="22" fillId="12" borderId="31" applyAlignment="1" pivotButton="0" quotePrefix="0" xfId="0">
      <alignment horizontal="right"/>
    </xf>
    <xf numFmtId="169" fontId="22" fillId="12" borderId="32" applyAlignment="1" pivotButton="0" quotePrefix="0" xfId="0">
      <alignment horizontal="right"/>
    </xf>
    <xf numFmtId="0" fontId="15" fillId="7" borderId="39" applyAlignment="1" pivotButton="0" quotePrefix="0" xfId="0">
      <alignment horizontal="left" vertical="center" indent="1"/>
    </xf>
    <xf numFmtId="169" fontId="15" fillId="7" borderId="40" applyAlignment="1" pivotButton="0" quotePrefix="0" xfId="0">
      <alignment horizontal="right"/>
    </xf>
    <xf numFmtId="169" fontId="15" fillId="7" borderId="41" applyAlignment="1" pivotButton="0" quotePrefix="0" xfId="0">
      <alignment horizontal="right"/>
    </xf>
    <xf numFmtId="0" fontId="15" fillId="11" borderId="42" applyAlignment="1" pivotButton="0" quotePrefix="0" xfId="0">
      <alignment horizontal="left" vertical="center" indent="1"/>
    </xf>
    <xf numFmtId="169" fontId="15" fillId="11" borderId="43" applyAlignment="1" pivotButton="0" quotePrefix="0" xfId="0">
      <alignment horizontal="right"/>
    </xf>
    <xf numFmtId="169" fontId="15" fillId="11" borderId="44" applyAlignment="1" pivotButton="0" quotePrefix="0" xfId="0">
      <alignment horizontal="right"/>
    </xf>
    <xf numFmtId="0" fontId="12" fillId="8" borderId="45" applyAlignment="1" pivotButton="0" quotePrefix="0" xfId="0">
      <alignment horizontal="left" vertical="center"/>
    </xf>
    <xf numFmtId="0" fontId="12" fillId="8" borderId="46" applyAlignment="1" pivotButton="0" quotePrefix="0" xfId="0">
      <alignment horizontal="center" vertical="center"/>
    </xf>
    <xf numFmtId="0" fontId="12" fillId="8" borderId="47" applyAlignment="1" pivotButton="0" quotePrefix="0" xfId="0">
      <alignment horizontal="center" vertical="center"/>
    </xf>
    <xf numFmtId="0" fontId="13" fillId="7" borderId="39" applyAlignment="1" pivotButton="0" quotePrefix="0" xfId="0">
      <alignment horizontal="left"/>
    </xf>
    <xf numFmtId="169" fontId="13" fillId="7" borderId="40" applyAlignment="1" pivotButton="0" quotePrefix="0" xfId="0">
      <alignment horizontal="right"/>
    </xf>
    <xf numFmtId="169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/>
    </xf>
    <xf numFmtId="169" fontId="13" fillId="11" borderId="34" applyAlignment="1" pivotButton="0" quotePrefix="0" xfId="0">
      <alignment horizontal="right"/>
    </xf>
    <xf numFmtId="169" fontId="13" fillId="11" borderId="35" applyAlignment="1" pivotButton="0" quotePrefix="0" xfId="0">
      <alignment horizontal="right"/>
    </xf>
    <xf numFmtId="0" fontId="13" fillId="7" borderId="33" applyAlignment="1" pivotButton="0" quotePrefix="0" xfId="0">
      <alignment horizontal="left"/>
    </xf>
    <xf numFmtId="169" fontId="13" fillId="7" borderId="34" applyAlignment="1" pivotButton="0" quotePrefix="0" xfId="0">
      <alignment horizontal="right"/>
    </xf>
    <xf numFmtId="169" fontId="13" fillId="7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21" fillId="12" borderId="33" applyAlignment="1" pivotButton="0" quotePrefix="0" xfId="0">
      <alignment horizontal="left"/>
    </xf>
    <xf numFmtId="169" fontId="21" fillId="12" borderId="34" applyAlignment="1" pivotButton="0" quotePrefix="0" xfId="0">
      <alignment horizontal="right"/>
    </xf>
    <xf numFmtId="169" fontId="21" fillId="12" borderId="35" applyAlignment="1" pivotButton="0" quotePrefix="0" xfId="0">
      <alignment horizontal="right"/>
    </xf>
    <xf numFmtId="0" fontId="13" fillId="7" borderId="42" applyAlignment="1" pivotButton="0" quotePrefix="0" xfId="0">
      <alignment horizontal="left"/>
    </xf>
    <xf numFmtId="169" fontId="13" fillId="7" borderId="43" applyAlignment="1" pivotButton="0" quotePrefix="0" xfId="0">
      <alignment horizontal="right"/>
    </xf>
    <xf numFmtId="169" fontId="13" fillId="7" borderId="44" applyAlignment="1" pivotButton="0" quotePrefix="0" xfId="0">
      <alignment horizontal="right"/>
    </xf>
    <xf numFmtId="0" fontId="11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8" borderId="30" applyAlignment="1" pivotButton="0" quotePrefix="0" xfId="0">
      <alignment horizontal="center"/>
    </xf>
    <xf numFmtId="0" fontId="12" fillId="8" borderId="31" applyAlignment="1" pivotButton="0" quotePrefix="0" xfId="0">
      <alignment horizontal="center"/>
    </xf>
    <xf numFmtId="0" fontId="12" fillId="8" borderId="32" applyAlignment="1" pivotButton="0" quotePrefix="0" xfId="0">
      <alignment horizontal="center"/>
    </xf>
    <xf numFmtId="164" fontId="13" fillId="7" borderId="42" applyAlignment="1" pivotButton="0" quotePrefix="0" xfId="0">
      <alignment horizontal="right"/>
    </xf>
    <xf numFmtId="164" fontId="13" fillId="7" borderId="43" applyAlignment="1" pivotButton="0" quotePrefix="0" xfId="0">
      <alignment horizontal="right"/>
    </xf>
    <xf numFmtId="0" fontId="13" fillId="7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7" borderId="34" applyAlignment="1" pivotButton="0" quotePrefix="0" xfId="0">
      <alignment horizontal="right"/>
    </xf>
    <xf numFmtId="49" fontId="13" fillId="7" borderId="35" applyAlignment="1" pivotButton="0" quotePrefix="0" xfId="0">
      <alignment horizontal="left"/>
    </xf>
    <xf numFmtId="49" fontId="13" fillId="7" borderId="44" applyAlignment="1" pivotButton="0" quotePrefix="0" xfId="0">
      <alignment horizontal="left"/>
    </xf>
    <xf numFmtId="0" fontId="12" fillId="8" borderId="45" applyAlignment="1" pivotButton="0" quotePrefix="0" xfId="0">
      <alignment horizontal="left"/>
    </xf>
    <xf numFmtId="0" fontId="12" fillId="8" borderId="46" applyAlignment="1" pivotButton="0" quotePrefix="0" xfId="0">
      <alignment horizontal="center"/>
    </xf>
    <xf numFmtId="0" fontId="12" fillId="8" borderId="47" applyAlignment="1" pivotButton="0" quotePrefix="0" xfId="0">
      <alignment horizontal="center"/>
    </xf>
    <xf numFmtId="170" fontId="13" fillId="7" borderId="40" applyAlignment="1" pivotButton="0" quotePrefix="0" xfId="0">
      <alignment horizontal="right"/>
    </xf>
    <xf numFmtId="170" fontId="13" fillId="7" borderId="41" applyAlignment="1" pivotButton="0" quotePrefix="0" xfId="0">
      <alignment horizontal="right"/>
    </xf>
    <xf numFmtId="170" fontId="13" fillId="11" borderId="34" applyAlignment="1" pivotButton="0" quotePrefix="0" xfId="0">
      <alignment horizontal="right"/>
    </xf>
    <xf numFmtId="170" fontId="13" fillId="11" borderId="35" applyAlignment="1" pivotButton="0" quotePrefix="0" xfId="0">
      <alignment horizontal="right"/>
    </xf>
    <xf numFmtId="170" fontId="13" fillId="7" borderId="34" applyAlignment="1" pivotButton="0" quotePrefix="0" xfId="0">
      <alignment horizontal="right"/>
    </xf>
    <xf numFmtId="170" fontId="13" fillId="7" borderId="35" applyAlignment="1" pivotButton="0" quotePrefix="0" xfId="0">
      <alignment horizontal="right"/>
    </xf>
    <xf numFmtId="0" fontId="14" fillId="14" borderId="42" applyAlignment="1" pivotButton="0" quotePrefix="0" xfId="0">
      <alignment horizontal="left"/>
    </xf>
    <xf numFmtId="170" fontId="14" fillId="14" borderId="43" applyAlignment="1" pivotButton="0" quotePrefix="0" xfId="0">
      <alignment horizontal="right"/>
    </xf>
    <xf numFmtId="170" fontId="14" fillId="14" borderId="44" applyAlignment="1" pivotButton="0" quotePrefix="0" xfId="0">
      <alignment horizontal="right"/>
    </xf>
    <xf numFmtId="0" fontId="12" fillId="8" borderId="48" applyAlignment="1" pivotButton="0" quotePrefix="0" xfId="0">
      <alignment horizontal="center"/>
    </xf>
    <xf numFmtId="0" fontId="12" fillId="8" borderId="49" applyAlignment="1" pivotButton="0" quotePrefix="0" xfId="0">
      <alignment horizontal="center"/>
    </xf>
    <xf numFmtId="0" fontId="12" fillId="8" borderId="50" applyAlignment="1" pivotButton="0" quotePrefix="0" xfId="0">
      <alignment horizontal="center"/>
    </xf>
    <xf numFmtId="164" fontId="13" fillId="7" borderId="45" applyAlignment="1" pivotButton="0" quotePrefix="0" xfId="0">
      <alignment horizontal="right"/>
    </xf>
    <xf numFmtId="164" fontId="13" fillId="11" borderId="46" applyAlignment="1" pivotButton="0" quotePrefix="0" xfId="0">
      <alignment horizontal="right"/>
    </xf>
    <xf numFmtId="164" fontId="14" fillId="14" borderId="46" applyAlignment="1" pivotButton="0" quotePrefix="0" xfId="0">
      <alignment horizontal="right"/>
    </xf>
    <xf numFmtId="9" fontId="14" fillId="14" borderId="47" applyAlignment="1" pivotButton="0" quotePrefix="0" xfId="0">
      <alignment horizontal="right"/>
    </xf>
    <xf numFmtId="164" fontId="13" fillId="7" borderId="40" applyAlignment="1" pivotButton="0" quotePrefix="0" xfId="0">
      <alignment horizontal="right"/>
    </xf>
    <xf numFmtId="164" fontId="13" fillId="11" borderId="41" applyAlignment="1" pivotButton="0" quotePrefix="0" xfId="0">
      <alignment horizontal="right"/>
    </xf>
    <xf numFmtId="164" fontId="13" fillId="11" borderId="35" applyAlignment="1" pivotButton="0" quotePrefix="0" xfId="0">
      <alignment horizontal="right"/>
    </xf>
    <xf numFmtId="164" fontId="14" fillId="14" borderId="43" applyAlignment="1" pivotButton="0" quotePrefix="0" xfId="0">
      <alignment horizontal="right"/>
    </xf>
    <xf numFmtId="164" fontId="14" fillId="14" borderId="44" applyAlignment="1" pivotButton="0" quotePrefix="0" xfId="0">
      <alignment horizontal="right"/>
    </xf>
    <xf numFmtId="0" fontId="12" fillId="8" borderId="30" applyAlignment="1" pivotButton="0" quotePrefix="0" xfId="0">
      <alignment horizontal="left"/>
    </xf>
    <xf numFmtId="0" fontId="12" fillId="8" borderId="32" applyAlignment="1" pivotButton="0" quotePrefix="0" xfId="0">
      <alignment horizontal="right"/>
    </xf>
    <xf numFmtId="164" fontId="13" fillId="7" borderId="35" applyAlignment="1" pivotButton="0" quotePrefix="0" xfId="0">
      <alignment horizontal="right"/>
    </xf>
    <xf numFmtId="0" fontId="14" fillId="14" borderId="33" applyAlignment="1" pivotButton="0" quotePrefix="0" xfId="0">
      <alignment horizontal="left"/>
    </xf>
    <xf numFmtId="164" fontId="14" fillId="14" borderId="35" applyAlignment="1" pivotButton="0" quotePrefix="0" xfId="0">
      <alignment horizontal="right"/>
    </xf>
    <xf numFmtId="0" fontId="12" fillId="8" borderId="48" applyAlignment="1" pivotButton="0" quotePrefix="0" xfId="0">
      <alignment horizontal="left"/>
    </xf>
    <xf numFmtId="0" fontId="12" fillId="8" borderId="50" applyAlignment="1" pivotButton="0" quotePrefix="0" xfId="0">
      <alignment horizontal="right"/>
    </xf>
    <xf numFmtId="0" fontId="13" fillId="7" borderId="51" applyAlignment="1" pivotButton="0" quotePrefix="0" xfId="0">
      <alignment horizontal="left"/>
    </xf>
    <xf numFmtId="164" fontId="13" fillId="7" borderId="38" applyAlignment="1" pivotButton="0" quotePrefix="0" xfId="0">
      <alignment horizontal="right"/>
    </xf>
    <xf numFmtId="0" fontId="13" fillId="11" borderId="51" applyAlignment="1" pivotButton="0" quotePrefix="0" xfId="0">
      <alignment horizontal="left"/>
    </xf>
    <xf numFmtId="164" fontId="13" fillId="11" borderId="38" applyAlignment="1" pivotButton="0" quotePrefix="0" xfId="0">
      <alignment horizontal="right"/>
    </xf>
    <xf numFmtId="0" fontId="14" fillId="14" borderId="51" applyAlignment="1" pivotButton="0" quotePrefix="0" xfId="0">
      <alignment horizontal="left"/>
    </xf>
    <xf numFmtId="164" fontId="14" fillId="14" borderId="38" applyAlignment="1" pivotButton="0" quotePrefix="0" xfId="0">
      <alignment horizontal="right"/>
    </xf>
    <xf numFmtId="0" fontId="14" fillId="14" borderId="52" applyAlignment="1" pivotButton="0" quotePrefix="0" xfId="0">
      <alignment horizontal="left"/>
    </xf>
    <xf numFmtId="0" fontId="10" fillId="0" borderId="53" pivotButton="0" quotePrefix="0" xfId="0"/>
    <xf numFmtId="0" fontId="12" fillId="8" borderId="39" applyAlignment="1" pivotButton="0" quotePrefix="0" xfId="0">
      <alignment horizontal="left"/>
    </xf>
    <xf numFmtId="0" fontId="12" fillId="8" borderId="41" applyAlignment="1" pivotButton="0" quotePrefix="0" xfId="0">
      <alignment horizontal="right"/>
    </xf>
    <xf numFmtId="171" fontId="13" fillId="11" borderId="35" applyAlignment="1" pivotButton="0" quotePrefix="0" xfId="0">
      <alignment horizontal="right"/>
    </xf>
    <xf numFmtId="171" fontId="13" fillId="7" borderId="35" applyAlignment="1" pivotButton="0" quotePrefix="0" xfId="0">
      <alignment horizontal="right"/>
    </xf>
    <xf numFmtId="0" fontId="12" fillId="8" borderId="47" applyAlignment="1" pivotButton="0" quotePrefix="0" xfId="0">
      <alignment horizontal="right" vertical="center"/>
    </xf>
    <xf numFmtId="0" fontId="13" fillId="7" borderId="39" applyAlignment="1" pivotButton="0" quotePrefix="0" xfId="0">
      <alignment horizontal="left" vertical="center" wrapText="1"/>
    </xf>
    <xf numFmtId="164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 vertical="center" wrapText="1"/>
    </xf>
    <xf numFmtId="0" fontId="13" fillId="7" borderId="33" applyAlignment="1" pivotButton="0" quotePrefix="0" xfId="0">
      <alignment horizontal="left" vertical="center" wrapText="1"/>
    </xf>
    <xf numFmtId="0" fontId="14" fillId="14" borderId="33" applyAlignment="1" pivotButton="0" quotePrefix="0" xfId="0">
      <alignment horizontal="left" vertical="center" wrapText="1"/>
    </xf>
    <xf numFmtId="165" fontId="14" fillId="14" borderId="35" applyAlignment="1" pivotButton="0" quotePrefix="0" xfId="0">
      <alignment horizontal="right"/>
    </xf>
    <xf numFmtId="0" fontId="14" fillId="14" borderId="42" applyAlignment="1" pivotButton="0" quotePrefix="0" xfId="0">
      <alignment horizontal="left" vertical="center" wrapText="1"/>
    </xf>
    <xf numFmtId="10" fontId="14" fillId="14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7" borderId="33" applyAlignment="1" pivotButton="0" quotePrefix="0" xfId="0">
      <alignment horizontal="left" wrapText="1"/>
    </xf>
    <xf numFmtId="0" fontId="13" fillId="11" borderId="33" applyAlignment="1" pivotButton="0" quotePrefix="0" xfId="0">
      <alignment horizontal="left" wrapText="1"/>
    </xf>
    <xf numFmtId="0" fontId="14" fillId="14" borderId="33" applyAlignment="1" pivotButton="0" quotePrefix="0" xfId="0">
      <alignment horizontal="left" wrapText="1"/>
    </xf>
    <xf numFmtId="0" fontId="14" fillId="14" borderId="42" applyAlignment="1" pivotButton="0" quotePrefix="0" xfId="0">
      <alignment horizontal="left" wrapText="1"/>
    </xf>
    <xf numFmtId="0" fontId="12" fillId="8" borderId="54" applyAlignment="1" pivotButton="0" quotePrefix="0" xfId="0">
      <alignment horizontal="left"/>
    </xf>
    <xf numFmtId="0" fontId="13" fillId="7" borderId="55" applyAlignment="1" pivotButton="0" quotePrefix="0" xfId="0">
      <alignment horizontal="left"/>
    </xf>
    <xf numFmtId="0" fontId="13" fillId="11" borderId="56" applyAlignment="1" pivotButton="0" quotePrefix="0" xfId="0">
      <alignment horizontal="left"/>
    </xf>
    <xf numFmtId="0" fontId="13" fillId="11" borderId="55" applyAlignment="1" pivotButton="0" quotePrefix="0" xfId="0">
      <alignment horizontal="left"/>
    </xf>
    <xf numFmtId="0" fontId="14" fillId="14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8" borderId="33" applyAlignment="1" pivotButton="0" quotePrefix="0" xfId="0">
      <alignment horizontal="center"/>
    </xf>
    <xf numFmtId="0" fontId="8" fillId="8" borderId="34" applyAlignment="1" pivotButton="0" quotePrefix="0" xfId="0">
      <alignment horizontal="left"/>
    </xf>
    <xf numFmtId="0" fontId="8" fillId="8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1" borderId="33" applyAlignment="1" pivotButton="0" quotePrefix="0" xfId="0">
      <alignment horizontal="center"/>
    </xf>
    <xf numFmtId="0" fontId="10" fillId="11" borderId="34" pivotButton="0" quotePrefix="0" xfId="0"/>
    <xf numFmtId="164" fontId="10" fillId="11" borderId="35" applyAlignment="1" pivotButton="0" quotePrefix="0" xfId="0">
      <alignment horizontal="right"/>
    </xf>
    <xf numFmtId="0" fontId="24" fillId="14" borderId="42" applyAlignment="1" pivotButton="0" quotePrefix="0" xfId="0">
      <alignment horizontal="left"/>
    </xf>
    <xf numFmtId="0" fontId="10" fillId="0" borderId="59" pivotButton="0" quotePrefix="0" xfId="0"/>
    <xf numFmtId="164" fontId="24" fillId="14" borderId="44" applyAlignment="1" pivotButton="0" quotePrefix="0" xfId="0">
      <alignment horizontal="right"/>
    </xf>
    <xf numFmtId="0" fontId="8" fillId="8" borderId="30" applyAlignment="1" pivotButton="0" quotePrefix="0" xfId="0">
      <alignment horizontal="left"/>
    </xf>
    <xf numFmtId="0" fontId="8" fillId="8" borderId="45" applyAlignment="1" pivotButton="0" quotePrefix="0" xfId="0">
      <alignment horizontal="left"/>
    </xf>
    <xf numFmtId="0" fontId="10" fillId="0" borderId="60" pivotButton="0" quotePrefix="0" xfId="0"/>
    <xf numFmtId="164" fontId="8" fillId="8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8" borderId="30" applyAlignment="1" pivotButton="0" quotePrefix="0" xfId="0">
      <alignment horizontal="left" wrapText="1"/>
    </xf>
    <xf numFmtId="0" fontId="25" fillId="8" borderId="31" applyAlignment="1" pivotButton="0" quotePrefix="0" xfId="0">
      <alignment horizontal="center" vertical="center" wrapText="1"/>
    </xf>
    <xf numFmtId="0" fontId="25" fillId="8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1" borderId="33" applyAlignment="1" pivotButton="0" quotePrefix="0" xfId="0">
      <alignment wrapText="1"/>
    </xf>
    <xf numFmtId="0" fontId="26" fillId="11" borderId="34" applyAlignment="1" pivotButton="0" quotePrefix="0" xfId="0">
      <alignment horizontal="center" wrapText="1"/>
    </xf>
    <xf numFmtId="164" fontId="26" fillId="11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4" borderId="33" applyAlignment="1" pivotButton="0" quotePrefix="0" xfId="0">
      <alignment horizontal="left" wrapText="1"/>
    </xf>
    <xf numFmtId="0" fontId="27" fillId="14" borderId="34" applyAlignment="1" pivotButton="0" quotePrefix="0" xfId="0">
      <alignment horizontal="center" wrapText="1"/>
    </xf>
    <xf numFmtId="164" fontId="27" fillId="14" borderId="35" applyAlignment="1" pivotButton="0" quotePrefix="0" xfId="0">
      <alignment horizontal="right"/>
    </xf>
    <xf numFmtId="0" fontId="25" fillId="8" borderId="42" applyAlignment="1" pivotButton="0" quotePrefix="0" xfId="0">
      <alignment horizontal="left" wrapText="1"/>
    </xf>
    <xf numFmtId="0" fontId="25" fillId="8" borderId="43" applyAlignment="1" pivotButton="0" quotePrefix="0" xfId="0">
      <alignment horizontal="center" wrapText="1"/>
    </xf>
    <xf numFmtId="10" fontId="25" fillId="8" borderId="44" applyAlignment="1" pivotButton="0" quotePrefix="0" xfId="0">
      <alignment horizontal="right"/>
    </xf>
    <xf numFmtId="0" fontId="28" fillId="8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8" borderId="39" applyAlignment="1" pivotButton="0" quotePrefix="0" xfId="0">
      <alignment horizontal="left" vertical="center" wrapText="1"/>
    </xf>
    <xf numFmtId="0" fontId="8" fillId="8" borderId="40" applyAlignment="1" pivotButton="0" quotePrefix="0" xfId="0">
      <alignment horizontal="left" vertical="center" wrapText="1"/>
    </xf>
    <xf numFmtId="0" fontId="8" fillId="8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4" borderId="42" applyAlignment="1" pivotButton="0" quotePrefix="0" xfId="0">
      <alignment vertical="center" wrapText="1"/>
    </xf>
    <xf numFmtId="0" fontId="30" fillId="14" borderId="43" applyAlignment="1" pivotButton="0" quotePrefix="0" xfId="0">
      <alignment vertical="center" wrapText="1"/>
    </xf>
    <xf numFmtId="172" fontId="24" fillId="14" borderId="44" applyAlignment="1" pivotButton="0" quotePrefix="0" xfId="0">
      <alignment horizontal="right"/>
    </xf>
    <xf numFmtId="0" fontId="31" fillId="8" borderId="30" applyAlignment="1" pivotButton="0" quotePrefix="0" xfId="0">
      <alignment horizontal="center"/>
    </xf>
    <xf numFmtId="0" fontId="32" fillId="8" borderId="33" applyAlignment="1" pivotButton="0" quotePrefix="0" xfId="0">
      <alignment horizontal="left"/>
    </xf>
    <xf numFmtId="0" fontId="32" fillId="8" borderId="34" applyAlignment="1" pivotButton="0" quotePrefix="0" xfId="0">
      <alignment horizontal="center"/>
    </xf>
    <xf numFmtId="0" fontId="32" fillId="8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5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48.94%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6" t="inlineStr">
        <is>
          <t>✓ Gerado</t>
        </is>
      </c>
      <c r="F24" s="11" t="inlineStr">
        <is>
          <t>Aplicação MDE: 26.12%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72.16%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 ARRECADADO (R$)</t>
        </is>
      </c>
    </row>
    <row r="5" ht="19.95" customHeight="1">
      <c r="A5" s="16" t="inlineStr">
        <is>
          <t>1 - RECEITA TRIBUTÁRIA</t>
        </is>
      </c>
      <c r="B5" s="17" t="n">
        <v>26388066.81</v>
      </c>
    </row>
    <row r="6" ht="19.95" customHeight="1">
      <c r="A6" s="18" t="inlineStr">
        <is>
          <t>IPTU</t>
        </is>
      </c>
      <c r="B6" s="19" t="n">
        <v>854710.28</v>
      </c>
    </row>
    <row r="7" ht="19.95" customHeight="1">
      <c r="A7" s="18" t="inlineStr">
        <is>
          <t>ISS</t>
        </is>
      </c>
      <c r="B7" s="19" t="n">
        <v>7999236.56</v>
      </c>
    </row>
    <row r="8" ht="19.95" customHeight="1">
      <c r="A8" s="18" t="inlineStr">
        <is>
          <t>ITBI</t>
        </is>
      </c>
      <c r="B8" s="19" t="n">
        <v>572520.96</v>
      </c>
    </row>
    <row r="9" ht="19.95" customHeight="1">
      <c r="A9" s="18" t="inlineStr">
        <is>
          <t>IRRF</t>
        </is>
      </c>
      <c r="B9" s="19" t="n">
        <v>8096668.23</v>
      </c>
    </row>
    <row r="10" ht="19.95" customHeight="1">
      <c r="A10" s="18" t="inlineStr">
        <is>
          <t>TAXAS</t>
        </is>
      </c>
      <c r="B10" s="19" t="n">
        <v>383197.59</v>
      </c>
    </row>
    <row r="11" ht="19.95" customHeight="1">
      <c r="A11" s="18" t="inlineStr">
        <is>
          <t>CONTRIBUIÇÕES DE MELHORIAS</t>
        </is>
      </c>
      <c r="B11" s="19" t="n">
        <v>0</v>
      </c>
    </row>
    <row r="12" ht="19.95" customHeight="1">
      <c r="A12" s="18" t="inlineStr">
        <is>
          <t>RECEITA DA DIVIDA ATIVA</t>
        </is>
      </c>
      <c r="B12" s="19" t="n">
        <v>0</v>
      </c>
    </row>
    <row r="13" ht="19.95" customHeight="1">
      <c r="A13" s="18" t="inlineStr">
        <is>
          <t>MULTAS JUROS SOBRE TRIBUTOS</t>
        </is>
      </c>
      <c r="B13" s="19" t="n">
        <v>0</v>
      </c>
    </row>
    <row r="14" ht="19.95" customHeight="1">
      <c r="A14" s="18" t="inlineStr">
        <is>
          <t>CONTRIBUIÇÃO ILUMINAÇÃO PÚBLICA</t>
        </is>
      </c>
      <c r="B14" s="19" t="n">
        <v>8481733.189999999</v>
      </c>
    </row>
    <row r="15" ht="19.95" customHeight="1">
      <c r="A15" s="20" t="inlineStr">
        <is>
          <t>2 - TRANSFERIDOS PELO ESTADO</t>
        </is>
      </c>
      <c r="B15" s="21" t="n">
        <v>14773542.77</v>
      </c>
    </row>
    <row r="16" ht="19.95" customHeight="1">
      <c r="A16" s="18" t="inlineStr">
        <is>
          <t>Cota-Parte IPVA</t>
        </is>
      </c>
      <c r="B16" s="19" t="n">
        <v>3469079.76</v>
      </c>
    </row>
    <row r="17" ht="19.95" customHeight="1">
      <c r="A17" s="18" t="inlineStr">
        <is>
          <t>Cota-Parte ICMS</t>
        </is>
      </c>
      <c r="B17" s="19" t="n">
        <v>11304463.01</v>
      </c>
    </row>
    <row r="18" ht="19.95" customHeight="1">
      <c r="A18" s="18" t="inlineStr">
        <is>
          <t>ICMS DESONERAÇÃO</t>
        </is>
      </c>
      <c r="B18" s="19" t="n">
        <v>0</v>
      </c>
    </row>
    <row r="19" ht="19.95" customHeight="1">
      <c r="A19" s="20" t="inlineStr">
        <is>
          <t>3 - TRANSFERIDOS PELA UNIÃO</t>
        </is>
      </c>
      <c r="B19" s="21" t="n">
        <v>45568820.13</v>
      </c>
    </row>
    <row r="20" ht="19.95" customHeight="1">
      <c r="A20" s="18" t="inlineStr">
        <is>
          <t>CIDE</t>
        </is>
      </c>
      <c r="B20" s="19" t="n">
        <v>7439.49</v>
      </c>
    </row>
    <row r="21" ht="19.95" customHeight="1">
      <c r="A21" s="18" t="inlineStr">
        <is>
          <t>Cota-Parte ITR</t>
        </is>
      </c>
      <c r="B21" s="19" t="n">
        <v>17606.4</v>
      </c>
    </row>
    <row r="22" ht="19.95" customHeight="1">
      <c r="A22" s="18" t="inlineStr">
        <is>
          <t>Cota-Parte FPM</t>
        </is>
      </c>
      <c r="B22" s="19" t="n">
        <v>45472569.23</v>
      </c>
    </row>
    <row r="23" ht="19.95" customHeight="1">
      <c r="A23" s="18" t="inlineStr">
        <is>
          <t>Cota-Parte IPI</t>
        </is>
      </c>
      <c r="B23" s="19" t="n">
        <v>71205.00999999999</v>
      </c>
    </row>
    <row r="24" ht="19.95" customHeight="1">
      <c r="A24" s="20" t="inlineStr">
        <is>
          <t>4 - TOTAL CONTRIBUIÇÃO DO MUN.P/ FORMAÇÃO DO FUNDEB</t>
        </is>
      </c>
      <c r="B24" s="21" t="n">
        <v>11248841.03</v>
      </c>
    </row>
    <row r="25" ht="19.95" customHeight="1">
      <c r="A25" s="22" t="inlineStr">
        <is>
          <t>Contribuição do Mun.p/ Formação do FUNDEB</t>
        </is>
      </c>
      <c r="B25" s="23" t="n">
        <v>11248841.03</v>
      </c>
    </row>
    <row r="26" ht="19.95" customHeight="1">
      <c r="A26" s="24" t="inlineStr">
        <is>
          <t>Total (Base Cálculo Repasse)</t>
        </is>
      </c>
      <c r="B26" s="25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6" t="inlineStr">
        <is>
          <t>Quadro 3 – Resultado Orçamentário</t>
        </is>
      </c>
    </row>
    <row r="2" ht="30" customHeight="1">
      <c r="A2" s="27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8" t="inlineStr">
        <is>
          <t>RECEITA REALIZADA</t>
        </is>
      </c>
      <c r="B4" s="29" t="inlineStr">
        <is>
          <t>DESPESA EMPENHADA</t>
        </is>
      </c>
      <c r="C4" s="30" t="inlineStr">
        <is>
          <t>SITUAÇÃO</t>
        </is>
      </c>
    </row>
    <row r="5" ht="19.95" customHeight="1">
      <c r="A5" s="31" t="n">
        <v>240903283.17</v>
      </c>
      <c r="B5" s="32" t="n">
        <v>229432882.36</v>
      </c>
      <c r="C5" s="33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4" t="inlineStr">
        <is>
          <t>Quadro 4 – Receita Corrente Líquida</t>
        </is>
      </c>
    </row>
    <row r="2" ht="30" customHeight="1">
      <c r="A2" s="27" t="inlineStr">
        <is>
          <t>Este quadro demonstra a receita corrente líquida do Município.</t>
        </is>
      </c>
    </row>
    <row r="3" ht="15" customHeight="1"/>
    <row r="4" ht="19.95" customHeight="1">
      <c r="A4" s="35" t="inlineStr">
        <is>
          <t>DESCRIÇÃO</t>
        </is>
      </c>
      <c r="B4" s="36" t="inlineStr">
        <is>
          <t>TCE/MA</t>
        </is>
      </c>
    </row>
    <row r="5" ht="19.95" customHeight="1">
      <c r="A5" s="37" t="inlineStr">
        <is>
          <t>Receita Tributária</t>
        </is>
      </c>
      <c r="B5" s="38" t="n">
        <v>23406363.22</v>
      </c>
    </row>
    <row r="6" ht="19.95" customHeight="1">
      <c r="A6" s="37" t="inlineStr">
        <is>
          <t>Receita de Contribuições</t>
        </is>
      </c>
      <c r="B6" s="38" t="n">
        <v>9656678.960000001</v>
      </c>
    </row>
    <row r="7" ht="19.95" customHeight="1">
      <c r="A7" s="37" t="inlineStr">
        <is>
          <t>Receita Patrimonial</t>
        </is>
      </c>
      <c r="B7" s="38" t="n">
        <v>2040547.96</v>
      </c>
    </row>
    <row r="8" ht="19.95" customHeight="1">
      <c r="A8" s="37" t="inlineStr">
        <is>
          <t>Receita Agropecuária</t>
        </is>
      </c>
      <c r="B8" s="38" t="n">
        <v>0</v>
      </c>
    </row>
    <row r="9" ht="19.95" customHeight="1">
      <c r="A9" s="37" t="inlineStr">
        <is>
          <t>Receita Industrial</t>
        </is>
      </c>
      <c r="B9" s="38" t="n">
        <v>0</v>
      </c>
    </row>
    <row r="10" ht="19.95" customHeight="1">
      <c r="A10" s="37" t="inlineStr">
        <is>
          <t>Receita de Serviços</t>
        </is>
      </c>
      <c r="B10" s="38" t="n">
        <v>0</v>
      </c>
    </row>
    <row r="11" ht="19.95" customHeight="1">
      <c r="A11" s="37" t="inlineStr">
        <is>
          <t>Transferências Correntes</t>
        </is>
      </c>
      <c r="B11" s="38" t="n">
        <v>201826511</v>
      </c>
    </row>
    <row r="12" ht="19.95" customHeight="1">
      <c r="A12" s="37" t="inlineStr">
        <is>
          <t>Outras Receitas Correntes</t>
        </is>
      </c>
      <c r="B12" s="38" t="n">
        <v>643019.37</v>
      </c>
    </row>
    <row r="13" ht="19.95" customHeight="1">
      <c r="A13" s="39" t="inlineStr">
        <is>
          <t>RECEITA CORRENTE</t>
        </is>
      </c>
      <c r="B13" s="40" t="n">
        <v>237573120.51</v>
      </c>
    </row>
    <row r="14" ht="19.95" customHeight="1">
      <c r="A14" s="37" t="inlineStr">
        <is>
          <t>(-) Contrib. do Servidor para o Plano de Previdência</t>
        </is>
      </c>
      <c r="B14" s="38" t="n">
        <v>0</v>
      </c>
    </row>
    <row r="15" ht="19.95" customHeight="1">
      <c r="A15" s="37" t="inlineStr">
        <is>
          <t>(-) Compensação Financ. entre Regimes Previdenciária</t>
        </is>
      </c>
      <c r="B15" s="38" t="n">
        <v>0</v>
      </c>
    </row>
    <row r="16" ht="19.95" customHeight="1">
      <c r="A16" s="37" t="inlineStr">
        <is>
          <t>(-) Dedução de Receita para Formação do FUNDEB</t>
        </is>
      </c>
      <c r="B16" s="38" t="n">
        <v>13643871.2</v>
      </c>
    </row>
    <row r="17" ht="19.95" customHeight="1">
      <c r="A17" s="37" t="inlineStr">
        <is>
          <t>(-) Transferências Obrigatórias da União relativas às Emendas Individuais (art. 166-A, §1°, da CF) (V)</t>
        </is>
      </c>
      <c r="B17" s="38" t="n">
        <v>0</v>
      </c>
    </row>
    <row r="18" ht="19.95" customHeight="1">
      <c r="A18" s="37" t="inlineStr">
        <is>
          <t>(-) Transferências Obrigatórias da União relativas às Emendas de Bancada (art. 166, § 16, da CF) (VI)</t>
        </is>
      </c>
      <c r="B18" s="38" t="n">
        <v>0</v>
      </c>
    </row>
    <row r="19" ht="19.95" customHeight="1">
      <c r="A19" s="37" t="inlineStr">
        <is>
          <t>(-) Rendimentos de Aplicações de Recursos Previdenciários</t>
        </is>
      </c>
      <c r="B19" s="38" t="n">
        <v>0</v>
      </c>
    </row>
    <row r="20" ht="19.95" customHeight="1">
      <c r="A20" s="37" t="inlineStr">
        <is>
          <t>(-) Transferências da União relativas à remuneração dos agentes comunitários de saúde e de combate às endemias (CF, art. 198, §11) (7)</t>
        </is>
      </c>
      <c r="B20" s="38" t="n">
        <v>0</v>
      </c>
    </row>
    <row r="21" ht="19.95" customHeight="1">
      <c r="A21" s="41" t="inlineStr">
        <is>
          <t>RECEITA CORRENTE LÍQUIDA DECLARADA</t>
        </is>
      </c>
      <c r="B21" s="4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3" t="inlineStr">
        <is>
          <t>Quadro 5 – Despesa com Pessoal</t>
        </is>
      </c>
    </row>
    <row r="2">
      <c r="A2" s="44" t="inlineStr">
        <is>
          <t>Este quadro detalha a despesa com pessoal do Município.</t>
        </is>
      </c>
    </row>
    <row r="3">
      <c r="A3" s="45" t="n"/>
      <c r="B3" s="45" t="n"/>
    </row>
    <row r="4">
      <c r="A4" s="46" t="inlineStr">
        <is>
          <t>DESCRIÇÃO</t>
        </is>
      </c>
      <c r="B4" s="47" t="inlineStr">
        <is>
          <t>TCE/MA</t>
        </is>
      </c>
    </row>
    <row r="5">
      <c r="A5" s="48" t="inlineStr">
        <is>
          <t>Pessoal ativo</t>
        </is>
      </c>
      <c r="B5" s="49" t="n">
        <v>120554249.79</v>
      </c>
    </row>
    <row r="6" ht="28.8" customHeight="1">
      <c r="A6" s="50" t="inlineStr">
        <is>
          <t>Pessoal inativo e pensionistas</t>
        </is>
      </c>
      <c r="B6" s="49" t="n">
        <v>0</v>
      </c>
    </row>
    <row r="7" ht="28.8" customHeight="1">
      <c r="A7" s="50" t="inlineStr">
        <is>
          <t>Outras despesas de pessoal decorrentes de contratos de terceirização (§ 1º do art. 18 da LRF)</t>
        </is>
      </c>
      <c r="B7" s="49" t="n">
        <v>0</v>
      </c>
    </row>
    <row r="8">
      <c r="A8" s="51" t="inlineStr">
        <is>
          <t>DESPESA COM PESSOAL</t>
        </is>
      </c>
      <c r="B8" s="52" t="n">
        <v>120554249.79</v>
      </c>
    </row>
    <row r="9">
      <c r="A9" s="50" t="inlineStr">
        <is>
          <t>(-) Indenizações por demissão e incentivos à demissão voluntária</t>
        </is>
      </c>
      <c r="B9" s="49" t="n">
        <v>0</v>
      </c>
    </row>
    <row r="10" ht="28.8" customHeight="1">
      <c r="A10" s="50" t="inlineStr">
        <is>
          <t>(-) Decorrentes de decisão judicial de período anterior ao da apuração</t>
        </is>
      </c>
      <c r="B10" s="49" t="n">
        <v>0</v>
      </c>
    </row>
    <row r="11" ht="28.8" customHeight="1">
      <c r="A11" s="50" t="inlineStr">
        <is>
          <t>(-) Despesas de exercícios anteriores de período anterior ao da apuração</t>
        </is>
      </c>
      <c r="B11" s="49" t="n">
        <v>2435293.72</v>
      </c>
    </row>
    <row r="12" ht="28.8" customHeight="1">
      <c r="A12" s="50" t="inlineStr">
        <is>
          <t>(-) Inativos e pensionistas com recursos vinculados</t>
        </is>
      </c>
      <c r="B12" s="49" t="n">
        <v>0</v>
      </c>
    </row>
    <row r="13" ht="28.8" customHeight="1">
      <c r="A13" s="50" t="inlineStr">
        <is>
          <t>(-) Agentes Comunitários de Saúde e de Combate às Endemias com Recursos Vinculados (CF, art. 198, §11)</t>
        </is>
      </c>
      <c r="B13" s="49" t="n">
        <v>4874224</v>
      </c>
    </row>
    <row r="14" ht="28.8" customHeight="1">
      <c r="A14" s="50" t="inlineStr">
        <is>
          <t>(-) Parcela dedutível referente ao piso salarial do Enfermeiro, Técnico de Enfermagem, Auxiliar de Enfermagem e Parteira (ADCT, art. 38, §2º)</t>
        </is>
      </c>
      <c r="B14" s="49" t="n">
        <v>3653974.88</v>
      </c>
    </row>
    <row r="15" ht="28.8" customHeight="1">
      <c r="A15" s="51" t="inlineStr">
        <is>
          <t>DESPESA LÍQUIDA COM PESSOAL (DESPESAS INSCRITAS EM RESTOS A PAGAR NÃO PROCESSADOS)</t>
        </is>
      </c>
      <c r="B15" s="53" t="n">
        <v>0</v>
      </c>
    </row>
    <row r="16">
      <c r="A16" s="51" t="inlineStr">
        <is>
          <t>DESPESA LÍQUIDA COM PESSOAL</t>
        </is>
      </c>
      <c r="B16" s="54">
        <f>IFERROR(B8-SUM(B9:B14)-B15,0)</f>
        <v/>
      </c>
    </row>
    <row r="17" ht="28.8" customHeight="1">
      <c r="A17" s="50" t="inlineStr">
        <is>
          <t>Base de cálculo informada</t>
        </is>
      </c>
      <c r="B17" s="49" t="n">
        <v>223929249.31</v>
      </c>
    </row>
    <row r="18">
      <c r="A18" s="55" t="inlineStr">
        <is>
          <t>PERCENTUAL DE APLICAÇÃO EM DESPESA COM PESSOAL</t>
        </is>
      </c>
      <c r="B18" s="56" t="n">
        <v>48.94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4" t="inlineStr">
        <is>
          <t>Quadro 6 – Comportamento da Despesa com Pessoal no Exercício</t>
        </is>
      </c>
    </row>
    <row r="2" ht="42" customHeight="1">
      <c r="A2" s="27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7" t="inlineStr">
        <is>
          <t>1º Semestre(R$)</t>
        </is>
      </c>
      <c r="B4" s="58" t="n"/>
      <c r="C4" s="57" t="inlineStr">
        <is>
          <t>(APURADO PELO TCE) (R$)</t>
        </is>
      </c>
      <c r="D4" s="58" t="n"/>
    </row>
    <row r="5" ht="22.05" customHeight="1">
      <c r="A5" s="59" t="inlineStr">
        <is>
          <t>Total Despesa</t>
        </is>
      </c>
      <c r="B5" s="60" t="n">
        <v>93297790.14</v>
      </c>
      <c r="C5" s="59" t="inlineStr">
        <is>
          <t>Total Despesa</t>
        </is>
      </c>
      <c r="D5" s="60" t="n">
        <v>101097508.86</v>
      </c>
    </row>
    <row r="6" ht="22.05" customHeight="1">
      <c r="A6" s="61" t="inlineStr">
        <is>
          <t>RECEITA CORRENTE LÍQUIDA</t>
        </is>
      </c>
      <c r="B6" s="62" t="n">
        <v>186483770.5</v>
      </c>
      <c r="C6" s="61" t="inlineStr">
        <is>
          <t>RECEITA CORRENTE LÍQUIDA )</t>
        </is>
      </c>
      <c r="D6" s="62" t="n">
        <v>223929249.31</v>
      </c>
    </row>
    <row r="7" ht="30" customHeight="1">
      <c r="A7" s="63" t="inlineStr">
        <is>
          <t>Despesa de Pessoal EXECUTIVO – Limite Legal - 54% do RCL - art. 21 II da LRF</t>
        </is>
      </c>
      <c r="B7" s="64" t="n">
        <v>100701236.07</v>
      </c>
      <c r="C7" s="63" t="inlineStr">
        <is>
          <t>Despesa de Pessoal EXECUTIVO – Limite Legal - 54% do RCL - art. 21 II da LRF</t>
        </is>
      </c>
      <c r="D7" s="64" t="n">
        <v>120921794.63</v>
      </c>
    </row>
    <row r="8" ht="22.05" customHeight="1">
      <c r="A8" s="65" t="inlineStr">
        <is>
          <t>Percentual e Valor Apurados</t>
        </is>
      </c>
      <c r="B8" s="66" t="n">
        <v>50.03</v>
      </c>
      <c r="C8" s="65" t="inlineStr">
        <is>
          <t>Percentual e Valor Apurados</t>
        </is>
      </c>
      <c r="D8" s="66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4" t="inlineStr">
        <is>
          <t>Quadro 7 – Dívida Consolidada e Mobiliária</t>
        </is>
      </c>
    </row>
    <row r="2" ht="42" customHeight="1">
      <c r="A2" s="27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7" t="inlineStr">
        <is>
          <t>DÍVIDA CONSOLIDADA</t>
        </is>
      </c>
      <c r="B4" s="67" t="inlineStr">
        <is>
          <t>SALDO DO EXERCÍCIO ANTERIOR</t>
        </is>
      </c>
      <c r="C4" s="68" t="inlineStr">
        <is>
          <t>Saldo do Exercício de</t>
        </is>
      </c>
      <c r="D4" s="69" t="n"/>
    </row>
    <row r="5" ht="22.05" customHeight="1">
      <c r="A5" s="70" t="n"/>
      <c r="B5" s="70" t="n"/>
      <c r="C5" s="68" t="inlineStr">
        <is>
          <t>Até o 1º Semestre</t>
        </is>
      </c>
      <c r="D5" s="68" t="inlineStr">
        <is>
          <t>Até o 2º Semestre</t>
        </is>
      </c>
    </row>
    <row r="6">
      <c r="A6" s="71" t="inlineStr">
        <is>
          <t>DÍVIDA CONSOLIDADA - DC (I)</t>
        </is>
      </c>
      <c r="B6" s="72" t="n">
        <v>2983523.84</v>
      </c>
      <c r="C6" s="72" t="n">
        <v>16496895.58</v>
      </c>
      <c r="D6" s="72" t="n">
        <v>15570644.53</v>
      </c>
    </row>
    <row r="7">
      <c r="A7" s="73" t="inlineStr">
        <is>
          <t>Dívida Mobiliária</t>
        </is>
      </c>
      <c r="B7" s="74" t="n">
        <v>0</v>
      </c>
      <c r="C7" s="74" t="n">
        <v>0</v>
      </c>
      <c r="D7" s="74" t="n">
        <v>0</v>
      </c>
    </row>
    <row r="8">
      <c r="A8" s="75" t="inlineStr">
        <is>
          <t>Dívida Contratual</t>
        </is>
      </c>
      <c r="B8" s="76" t="n">
        <v>2983523.84</v>
      </c>
      <c r="C8" s="76" t="n">
        <v>16496895.58</v>
      </c>
      <c r="D8" s="76" t="n">
        <v>15570644.53</v>
      </c>
    </row>
    <row r="9" ht="28.8" customHeight="1">
      <c r="A9" s="73" t="inlineStr">
        <is>
          <t>Precatórios posteriores a 05/05/2000 (inclusive) - Vencidos e não pagos</t>
        </is>
      </c>
      <c r="B9" s="74" t="n">
        <v>0</v>
      </c>
      <c r="C9" s="74" t="n">
        <v>0</v>
      </c>
      <c r="D9" s="74" t="n">
        <v>0</v>
      </c>
    </row>
    <row r="10">
      <c r="A10" s="75" t="inlineStr">
        <is>
          <t>Outras Dívidas</t>
        </is>
      </c>
      <c r="B10" s="76" t="n">
        <v>0</v>
      </c>
      <c r="C10" s="76" t="n">
        <v>0</v>
      </c>
      <c r="D10" s="76" t="n">
        <v>0</v>
      </c>
    </row>
    <row r="11">
      <c r="A11" s="71" t="inlineStr">
        <is>
          <t>DEDUÇÕES (II)¹</t>
        </is>
      </c>
      <c r="B11" s="72" t="n">
        <v>-485408.97</v>
      </c>
      <c r="C11" s="72" t="n">
        <v>13593441.15</v>
      </c>
      <c r="D11" s="72" t="n">
        <v>2760463.25</v>
      </c>
    </row>
    <row r="12">
      <c r="A12" s="73" t="inlineStr">
        <is>
          <t>Disponibilidade de Caixa</t>
        </is>
      </c>
      <c r="B12" s="77" t="n"/>
      <c r="C12" s="77" t="n"/>
      <c r="D12" s="77" t="n"/>
    </row>
    <row r="13">
      <c r="A13" s="75" t="inlineStr">
        <is>
          <t>Disponibilidade de Caixa Bruta</t>
        </is>
      </c>
      <c r="B13" s="76" t="n">
        <v>13644981.62</v>
      </c>
      <c r="C13" s="76" t="n">
        <v>37027948.4</v>
      </c>
      <c r="D13" s="76" t="n">
        <v>25669370.81</v>
      </c>
    </row>
    <row r="14">
      <c r="A14" s="73" t="inlineStr">
        <is>
          <t>(-) Restos a Pagar Processados (Exceto Precatórios)</t>
        </is>
      </c>
      <c r="B14" s="74" t="n">
        <v>1131079.49</v>
      </c>
      <c r="C14" s="74" t="n">
        <v>7665120.95</v>
      </c>
      <c r="D14" s="74" t="n">
        <v>4924025.06</v>
      </c>
    </row>
    <row r="15">
      <c r="A15" s="75" t="inlineStr">
        <is>
          <t>Demais Haveres Financeiros</t>
        </is>
      </c>
      <c r="B15" s="76" t="n">
        <v>0</v>
      </c>
      <c r="C15" s="76" t="n">
        <v>0</v>
      </c>
      <c r="D15" s="76" t="n">
        <v>0</v>
      </c>
    </row>
    <row r="16">
      <c r="A16" s="71" t="inlineStr">
        <is>
          <t>DÍVIDA CONSOLIDADA LÍQUIDA (DCL) (III) = (I - II)</t>
        </is>
      </c>
      <c r="B16" s="72" t="n">
        <v>3468932.81</v>
      </c>
      <c r="C16" s="72" t="n">
        <v>2903454.43</v>
      </c>
      <c r="D16" s="72" t="n">
        <v>12810181.28</v>
      </c>
    </row>
    <row r="17">
      <c r="A17" s="71" t="inlineStr">
        <is>
          <t>RECEITA CORRENTE LÍQUIDA - RCL</t>
        </is>
      </c>
      <c r="B17" s="72" t="n">
        <v>168373975.24</v>
      </c>
      <c r="C17" s="72" t="n">
        <v>203577649.8</v>
      </c>
      <c r="D17" s="72" t="n">
        <v>223929249.31</v>
      </c>
    </row>
    <row r="18" ht="28.8" customHeight="1">
      <c r="A18" s="73" t="inlineStr">
        <is>
          <t>(-) Transferências Obrigatórias da União Relativas às Emendas Individuais (art. 166-A, § 1º, da CF) (V)</t>
        </is>
      </c>
      <c r="B18" s="74" t="n">
        <v>0</v>
      </c>
      <c r="C18" s="74" t="n">
        <v>2970896</v>
      </c>
      <c r="D18" s="74" t="n">
        <v>2970896</v>
      </c>
    </row>
    <row r="19" ht="28.8" customHeight="1">
      <c r="A19" s="71" t="inlineStr">
        <is>
          <t>RECEITA CORRENTE LÍQUIDA AJUSTADA PARA PARA CÁLCULO DOS LIMITES DE ENDIVIDAMENTO (VI) = (IV - V)</t>
        </is>
      </c>
      <c r="B19" s="72" t="n">
        <v>168373975.24</v>
      </c>
      <c r="C19" s="72" t="n">
        <v>200606753.8</v>
      </c>
      <c r="D19" s="72" t="n">
        <v>220958353.31</v>
      </c>
    </row>
    <row r="20">
      <c r="A20" s="75" t="inlineStr">
        <is>
          <t>% da DC sobre a RCL (I/RCL)</t>
        </is>
      </c>
      <c r="B20" s="78" t="n">
        <v>0.0177</v>
      </c>
      <c r="C20" s="78" t="n">
        <v>0.0822</v>
      </c>
      <c r="D20" s="78" t="n">
        <v>0.07049999999999999</v>
      </c>
    </row>
    <row r="21">
      <c r="A21" s="73" t="inlineStr">
        <is>
          <t>% da DCL sobre a RCL (III/RCL)</t>
        </is>
      </c>
      <c r="B21" s="79" t="n">
        <v>0.0206</v>
      </c>
      <c r="C21" s="79" t="n">
        <v>0.0145</v>
      </c>
      <c r="D21" s="79" t="n">
        <v>0.058</v>
      </c>
    </row>
    <row r="22">
      <c r="A22" s="71" t="inlineStr">
        <is>
          <t>LIMITE DEFINIDO POR RESOLUÇÃO DO SENADO FEDERAL</t>
        </is>
      </c>
      <c r="B22" s="72" t="n">
        <v>202048770.29</v>
      </c>
      <c r="C22" s="72" t="n">
        <v>240728104.56</v>
      </c>
      <c r="D22" s="72" t="n">
        <v>263582655.13</v>
      </c>
    </row>
    <row r="23">
      <c r="A23" s="71" t="inlineStr">
        <is>
          <t>LIMITE DE ALERTA (inciso III do § 1º do art. 59 da LRF) - %</t>
        </is>
      </c>
      <c r="B23" s="72" t="n">
        <v>181843893.26</v>
      </c>
      <c r="C23" s="72" t="n">
        <v>216655294.1</v>
      </c>
      <c r="D23" s="72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6" t="inlineStr">
        <is>
          <t>Quadro 8 – Balanço Orçamentário – Receitas</t>
        </is>
      </c>
    </row>
    <row r="2" ht="30" customHeight="1">
      <c r="A2" s="27" t="inlineStr">
        <is>
          <t>Este quadro detalha a execução orçamentária das receitas por categoria.</t>
        </is>
      </c>
    </row>
    <row r="3" ht="15" customHeight="1"/>
    <row r="4" ht="34.05" customHeight="1">
      <c r="A4" s="80" t="inlineStr">
        <is>
          <t>LINHA</t>
        </is>
      </c>
      <c r="B4" s="81" t="inlineStr">
        <is>
          <t>PREVISÃO INICIAL</t>
        </is>
      </c>
      <c r="C4" s="81" t="inlineStr">
        <is>
          <t>PREVISÃO ATUALIZADA</t>
        </is>
      </c>
      <c r="D4" s="81" t="inlineStr">
        <is>
          <t>RECEITA REALIZADA</t>
        </is>
      </c>
      <c r="E4" s="82" t="inlineStr">
        <is>
          <t>SALDO</t>
        </is>
      </c>
    </row>
    <row r="5" ht="22.05" customHeight="1">
      <c r="A5" s="83" t="inlineStr">
        <is>
          <t>Receitas Correntes (I)</t>
        </is>
      </c>
      <c r="B5" s="84" t="n">
        <v>187529935.26</v>
      </c>
      <c r="C5" s="84" t="n">
        <v>187529935.26</v>
      </c>
      <c r="D5" s="84" t="n">
        <v>223929249.31</v>
      </c>
      <c r="E5" s="85" t="n">
        <v>36399314.05</v>
      </c>
    </row>
    <row r="6" ht="22.05" customHeight="1">
      <c r="A6" s="86" t="inlineStr">
        <is>
          <t>Receitas de Capital (II)</t>
        </is>
      </c>
      <c r="B6" s="87" t="n">
        <v>13900064.74</v>
      </c>
      <c r="C6" s="87" t="n">
        <v>13900064.74</v>
      </c>
      <c r="D6" s="87" t="n">
        <v>16974033.86</v>
      </c>
      <c r="E6" s="88" t="n">
        <v>3073969.12</v>
      </c>
    </row>
    <row r="7" ht="22.05" customHeight="1">
      <c r="A7" s="89" t="inlineStr">
        <is>
          <t>Subtotal das Receitas (III)</t>
        </is>
      </c>
      <c r="B7" s="90" t="n">
        <v>201430000</v>
      </c>
      <c r="C7" s="90" t="n">
        <v>201430000</v>
      </c>
      <c r="D7" s="90" t="n">
        <v>240903283.17</v>
      </c>
      <c r="E7" s="91" t="n">
        <v>39473283.17</v>
      </c>
    </row>
    <row r="8" ht="22.05" customHeight="1">
      <c r="A8" s="86" t="inlineStr">
        <is>
          <t>Operações de Crédito (IV)</t>
        </is>
      </c>
      <c r="B8" s="87" t="n">
        <v>0</v>
      </c>
      <c r="C8" s="87" t="n">
        <v>0</v>
      </c>
      <c r="D8" s="87" t="n">
        <v>0</v>
      </c>
      <c r="E8" s="88" t="n">
        <v>0</v>
      </c>
    </row>
    <row r="9" ht="22.05" customHeight="1">
      <c r="A9" s="89" t="inlineStr">
        <is>
          <t>Subtotal c/ Refinanciamento (V)</t>
        </is>
      </c>
      <c r="B9" s="90" t="n">
        <v>201430000</v>
      </c>
      <c r="C9" s="90" t="n">
        <v>201430000</v>
      </c>
      <c r="D9" s="90" t="n">
        <v>240903283.17</v>
      </c>
      <c r="E9" s="91" t="n">
        <v>39473283.17</v>
      </c>
    </row>
    <row r="10" ht="22.05" customHeight="1">
      <c r="A10" s="92" t="inlineStr">
        <is>
          <t>Déficit (VI)</t>
        </is>
      </c>
      <c r="B10" s="93" t="n">
        <v>0</v>
      </c>
      <c r="C10" s="93" t="n">
        <v>0</v>
      </c>
      <c r="D10" s="93" t="n">
        <v>0</v>
      </c>
      <c r="E10" s="94" t="n">
        <v>0</v>
      </c>
    </row>
    <row r="11" ht="22.05" customHeight="1">
      <c r="A11" s="95" t="inlineStr">
        <is>
          <t>TOTAL (VII)</t>
        </is>
      </c>
      <c r="B11" s="96" t="n">
        <v>201430000</v>
      </c>
      <c r="C11" s="96" t="n">
        <v>201430000</v>
      </c>
      <c r="D11" s="96" t="n">
        <v>240903283.17</v>
      </c>
      <c r="E11" s="97" t="n">
        <v>39473283.17</v>
      </c>
    </row>
    <row r="12" ht="22.05" customHeight="1">
      <c r="A12" s="98" t="inlineStr">
        <is>
          <t>Saldos Exerc. Anteriores</t>
        </is>
      </c>
      <c r="B12" s="99" t="n">
        <v>0</v>
      </c>
      <c r="C12" s="99" t="n">
        <v>0</v>
      </c>
      <c r="D12" s="99" t="n">
        <v>0</v>
      </c>
      <c r="E12" s="100" t="n">
        <v>0</v>
      </c>
    </row>
    <row r="13" ht="22.05" customHeight="1">
      <c r="A13" s="86" t="inlineStr">
        <is>
          <t>Recursos Arrecadados</t>
        </is>
      </c>
      <c r="B13" s="87" t="n">
        <v>0</v>
      </c>
      <c r="C13" s="87" t="n">
        <v>0</v>
      </c>
      <c r="D13" s="87" t="n">
        <v>0</v>
      </c>
      <c r="E13" s="88" t="n">
        <v>0</v>
      </c>
    </row>
    <row r="14" ht="22.05" customHeight="1">
      <c r="A14" s="83" t="inlineStr">
        <is>
          <t>Superávit Financeiro</t>
        </is>
      </c>
      <c r="B14" s="84" t="n">
        <v>0</v>
      </c>
      <c r="C14" s="84" t="n">
        <v>0</v>
      </c>
      <c r="D14" s="84" t="n">
        <v>0</v>
      </c>
      <c r="E14" s="85" t="n">
        <v>0</v>
      </c>
    </row>
    <row r="15" ht="22.05" customHeight="1">
      <c r="A15" s="101" t="inlineStr">
        <is>
          <t>Reabertura Créditos</t>
        </is>
      </c>
      <c r="B15" s="102" t="n">
        <v>0</v>
      </c>
      <c r="C15" s="102" t="n">
        <v>0</v>
      </c>
      <c r="D15" s="102" t="n">
        <v>0</v>
      </c>
      <c r="E15" s="103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6" t="inlineStr">
        <is>
          <t>Quadro 9 – Balanço Orçamentário – Despesas</t>
        </is>
      </c>
    </row>
    <row r="2" ht="30" customHeight="1">
      <c r="A2" s="27" t="inlineStr">
        <is>
          <t>Este quadro apresenta a estrutura das despesas orçamentárias do Município.</t>
        </is>
      </c>
    </row>
    <row r="3" ht="15" customHeight="1"/>
    <row r="4" ht="34.05" customHeight="1">
      <c r="A4" s="104" t="inlineStr">
        <is>
          <t>LINHA</t>
        </is>
      </c>
      <c r="B4" s="105" t="inlineStr">
        <is>
          <t>DOTAÇÃO INICIAL (D)</t>
        </is>
      </c>
      <c r="C4" s="105" t="inlineStr">
        <is>
          <t>DOTAÇÃO ATUALIZADA (E)</t>
        </is>
      </c>
      <c r="D4" s="105" t="inlineStr">
        <is>
          <t>EMPENHADA (F)</t>
        </is>
      </c>
      <c r="E4" s="105" t="inlineStr">
        <is>
          <t>LIQUIDADAS (G)</t>
        </is>
      </c>
      <c r="F4" s="105" t="inlineStr">
        <is>
          <t>PAGAS (H)</t>
        </is>
      </c>
      <c r="G4" s="106" t="inlineStr">
        <is>
          <t>SALDO DE DOTAÇÃO (I)=(E)-(F)</t>
        </is>
      </c>
    </row>
    <row r="5" ht="22.05" customHeight="1">
      <c r="A5" s="107" t="inlineStr">
        <is>
          <t>Despesas Correntes (VIII)</t>
        </is>
      </c>
      <c r="B5" s="108" t="n">
        <v>174645996.49</v>
      </c>
      <c r="C5" s="108" t="n">
        <v>206928523.24</v>
      </c>
      <c r="D5" s="108" t="n">
        <v>202065939.42</v>
      </c>
      <c r="E5" s="108" t="n">
        <v>201763680.89</v>
      </c>
      <c r="F5" s="108" t="n">
        <v>199492669.43</v>
      </c>
      <c r="G5" s="109" t="n">
        <v>4862583.82</v>
      </c>
    </row>
    <row r="6" ht="22.05" customHeight="1">
      <c r="A6" s="110" t="inlineStr">
        <is>
          <t>Despesas de Capital (IX)</t>
        </is>
      </c>
      <c r="B6" s="111" t="n">
        <v>26334939.51</v>
      </c>
      <c r="C6" s="111" t="n">
        <v>28730275.14</v>
      </c>
      <c r="D6" s="111" t="n">
        <v>27366942.94</v>
      </c>
      <c r="E6" s="111" t="n">
        <v>27366942.94</v>
      </c>
      <c r="F6" s="111" t="n">
        <v>26080225.18</v>
      </c>
      <c r="G6" s="112" t="n">
        <v>1363332.2</v>
      </c>
    </row>
    <row r="7" ht="22.05" customHeight="1">
      <c r="A7" s="113" t="inlineStr">
        <is>
          <t>Reserva de Contingência (X)</t>
        </is>
      </c>
      <c r="B7" s="114" t="n">
        <v>0</v>
      </c>
      <c r="C7" s="114" t="n">
        <v>0</v>
      </c>
      <c r="D7" s="114" t="n">
        <v>0</v>
      </c>
      <c r="E7" s="114" t="n">
        <v>0</v>
      </c>
      <c r="F7" s="114" t="n">
        <v>0</v>
      </c>
      <c r="G7" s="115" t="n">
        <v>0</v>
      </c>
    </row>
    <row r="8" ht="22.05" customHeight="1">
      <c r="A8" s="116" t="inlineStr">
        <is>
          <t>Subtotal das Despesas (XI) = (VIII+IX+X)</t>
        </is>
      </c>
      <c r="B8" s="117" t="n">
        <v>201430000</v>
      </c>
      <c r="C8" s="117" t="n">
        <v>235658798.38</v>
      </c>
      <c r="D8" s="117" t="n">
        <v>229432882.36</v>
      </c>
      <c r="E8" s="117" t="n">
        <v>229130623.83</v>
      </c>
      <c r="F8" s="117" t="n">
        <v>225572894.61</v>
      </c>
      <c r="G8" s="118" t="n">
        <v>6225916.02</v>
      </c>
    </row>
    <row r="9" ht="22.05" customHeight="1">
      <c r="A9" s="110" t="inlineStr">
        <is>
          <t>Amortização da Dívida/Refinanciamento (XII)</t>
        </is>
      </c>
      <c r="B9" s="111" t="n">
        <v>0</v>
      </c>
      <c r="C9" s="111" t="n">
        <v>0</v>
      </c>
      <c r="D9" s="111" t="n">
        <v>0</v>
      </c>
      <c r="E9" s="111" t="n">
        <v>0</v>
      </c>
      <c r="F9" s="111" t="n">
        <v>0</v>
      </c>
      <c r="G9" s="112" t="n">
        <v>0</v>
      </c>
    </row>
    <row r="10" ht="22.05" customHeight="1">
      <c r="A10" s="116" t="inlineStr">
        <is>
          <t>Subtotal c/ Refinanciamento (XIII) = (XI+XII)</t>
        </is>
      </c>
      <c r="B10" s="117" t="n">
        <v>201430000</v>
      </c>
      <c r="C10" s="117" t="n">
        <v>235658798.38</v>
      </c>
      <c r="D10" s="117" t="n">
        <v>229432882.36</v>
      </c>
      <c r="E10" s="117" t="n">
        <v>229130623.83</v>
      </c>
      <c r="F10" s="117" t="n">
        <v>225572894.61</v>
      </c>
      <c r="G10" s="118" t="n">
        <v>6225916.02</v>
      </c>
    </row>
    <row r="11" ht="22.05" customHeight="1">
      <c r="A11" s="113" t="inlineStr">
        <is>
          <t>Superávit (XIV)</t>
        </is>
      </c>
      <c r="B11" s="114" t="n">
        <v>0</v>
      </c>
      <c r="C11" s="114" t="n">
        <v>0</v>
      </c>
      <c r="D11" s="114" t="n">
        <v>0</v>
      </c>
      <c r="E11" s="114" t="n">
        <v>0</v>
      </c>
      <c r="F11" s="114" t="n">
        <v>0</v>
      </c>
      <c r="G11" s="115" t="n">
        <v>0</v>
      </c>
    </row>
    <row r="12" ht="22.05" customHeight="1">
      <c r="A12" s="119" t="inlineStr">
        <is>
          <t>TOTAL (XV) = (XIII+XIV)</t>
        </is>
      </c>
      <c r="B12" s="120" t="n">
        <v>201430000</v>
      </c>
      <c r="C12" s="120" t="n">
        <v>235658798.38</v>
      </c>
      <c r="D12" s="120" t="n">
        <v>240903283.17</v>
      </c>
      <c r="E12" s="120" t="n">
        <v>229130623.83</v>
      </c>
      <c r="F12" s="120" t="n">
        <v>225572894.61</v>
      </c>
      <c r="G12" s="121" t="n">
        <v>6225916.02</v>
      </c>
    </row>
    <row r="13" ht="22.05" customHeight="1">
      <c r="A13" s="122" t="inlineStr">
        <is>
          <t>Reserva do RPPS</t>
        </is>
      </c>
      <c r="B13" s="123" t="n">
        <v>0</v>
      </c>
      <c r="C13" s="123" t="n">
        <v>0</v>
      </c>
      <c r="D13" s="123" t="n">
        <v>0</v>
      </c>
      <c r="E13" s="123" t="n">
        <v>0</v>
      </c>
      <c r="F13" s="123" t="n">
        <v>0</v>
      </c>
      <c r="G13" s="12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5" t="inlineStr">
        <is>
          <t>Quadro 10 – Efetividade na Arrecadação de Receitas</t>
        </is>
      </c>
    </row>
    <row r="2" ht="30" customHeight="1">
      <c r="A2" s="126" t="inlineStr">
        <is>
          <t>Este quadro avalia a efetividade da arrecadação das receitas orçamentárias.</t>
        </is>
      </c>
    </row>
    <row r="3" ht="15" customHeight="1"/>
    <row r="4" ht="22.05" customHeight="1">
      <c r="A4" s="127" t="inlineStr">
        <is>
          <t>RECEITA TRIBUTÁRIA REALIZADA</t>
        </is>
      </c>
      <c r="B4" s="128" t="inlineStr">
        <is>
          <t>RECEITA TRIBUTÁRIA ATUALIZADA</t>
        </is>
      </c>
      <c r="C4" s="129" t="inlineStr">
        <is>
          <t>SITUAÇÃO</t>
        </is>
      </c>
    </row>
    <row r="5" ht="22.05" customHeight="1">
      <c r="A5" s="130" t="n">
        <v>23406363.22</v>
      </c>
      <c r="B5" s="131" t="n">
        <v>13704718.32</v>
      </c>
      <c r="C5" s="13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11 – Comparativo LOA x Balanço Orçamentário</t>
        </is>
      </c>
    </row>
    <row r="2" ht="30" customHeight="1">
      <c r="A2" s="126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7" t="inlineStr">
        <is>
          <t>DESCRIÇÃO</t>
        </is>
      </c>
      <c r="B4" s="128" t="inlineStr">
        <is>
          <t>LOA</t>
        </is>
      </c>
      <c r="C4" s="128" t="inlineStr">
        <is>
          <t>BO</t>
        </is>
      </c>
      <c r="D4" s="129" t="inlineStr">
        <is>
          <t>SITUAÇÃO</t>
        </is>
      </c>
    </row>
    <row r="5" ht="22.05" customHeight="1">
      <c r="A5" s="113" t="inlineStr">
        <is>
          <t>Receita Prevista</t>
        </is>
      </c>
      <c r="B5" s="134" t="n">
        <v>0</v>
      </c>
      <c r="C5" s="134" t="n">
        <v>201430000</v>
      </c>
      <c r="D5" s="135" t="inlineStr">
        <is>
          <t>N/D</t>
        </is>
      </c>
    </row>
    <row r="6" ht="22.05" customHeight="1">
      <c r="A6" s="122" t="inlineStr">
        <is>
          <t>Dotação Inicial</t>
        </is>
      </c>
      <c r="B6" s="131" t="n">
        <v>0</v>
      </c>
      <c r="C6" s="131" t="n">
        <v>201430000</v>
      </c>
      <c r="D6" s="136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12 – Apuração do Resultado Financeiro</t>
        </is>
      </c>
    </row>
    <row r="2" ht="30" customHeight="1">
      <c r="A2" s="12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7" t="inlineStr">
        <is>
          <t>Especificação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(+) Ativo Financeiro</t>
        </is>
      </c>
      <c r="B5" s="140" t="n">
        <v>25874276.56</v>
      </c>
      <c r="C5" s="141" t="n">
        <v>12590345.45</v>
      </c>
    </row>
    <row r="6" ht="22.05" customHeight="1">
      <c r="A6" s="110" t="inlineStr">
        <is>
          <t>(-) Passivo Financeiro</t>
        </is>
      </c>
      <c r="B6" s="142" t="n">
        <v>25133598.97</v>
      </c>
      <c r="C6" s="143" t="n">
        <v>24226912.98</v>
      </c>
    </row>
    <row r="7" ht="22.05" customHeight="1">
      <c r="A7" s="113" t="inlineStr">
        <is>
          <t>(+) Saldos dos créditos adicionais transferidos e as operações de crédito vinculadas</t>
        </is>
      </c>
      <c r="B7" s="144" t="n">
        <v>0</v>
      </c>
      <c r="C7" s="145" t="n">
        <v>0</v>
      </c>
    </row>
    <row r="8" ht="22.05" customHeight="1">
      <c r="A8" s="146" t="inlineStr">
        <is>
          <t>(=) Superávit/ Déficit Financeiro Apurado</t>
        </is>
      </c>
      <c r="B8" s="147" t="n">
        <v>740677.59</v>
      </c>
      <c r="C8" s="148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13 – Evolução do Patrimônio Líquido</t>
        </is>
      </c>
    </row>
    <row r="2" ht="30" customHeight="1">
      <c r="A2" s="12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9" t="inlineStr">
        <is>
          <t>Patrimônio Líquido 2023 (a)</t>
        </is>
      </c>
      <c r="B4" s="150" t="inlineStr">
        <is>
          <t>Patrimônio Líquido 2024 (b)</t>
        </is>
      </c>
      <c r="C4" s="150" t="inlineStr">
        <is>
          <t>Variação (c = b – a)</t>
        </is>
      </c>
      <c r="D4" s="151" t="inlineStr">
        <is>
          <t>%</t>
        </is>
      </c>
    </row>
    <row r="5" ht="22.05" customHeight="1">
      <c r="A5" s="152" t="n">
        <v>32230689.38</v>
      </c>
      <c r="B5" s="153" t="n">
        <v>59171522.35</v>
      </c>
      <c r="C5" s="154" t="n">
        <v>26940832.97</v>
      </c>
      <c r="D5" s="155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14 – Apuração do Fluxo de Caixa do Período</t>
        </is>
      </c>
    </row>
    <row r="2" ht="30" customHeight="1">
      <c r="A2" s="12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7" t="inlineStr">
        <is>
          <t>Descrição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Geração Líquida de Caixa e Equivalente de Caixa</t>
        </is>
      </c>
      <c r="B5" s="156" t="n">
        <v>13149379.55</v>
      </c>
      <c r="C5" s="157" t="n">
        <v>-3504085.95</v>
      </c>
    </row>
    <row r="6" ht="22.05" customHeight="1">
      <c r="A6" s="113" t="inlineStr">
        <is>
          <t>Caixa e Equivalente de Caixa Inicial</t>
        </is>
      </c>
      <c r="B6" s="134" t="n">
        <v>12543402.1</v>
      </c>
      <c r="C6" s="158" t="n">
        <v>16047488.05</v>
      </c>
    </row>
    <row r="7" ht="22.05" customHeight="1">
      <c r="A7" s="146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15 – Suficiência de Caixa</t>
        </is>
      </c>
    </row>
    <row r="2" ht="30" customHeight="1">
      <c r="A2" s="12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3" t="inlineStr">
        <is>
          <t>Disponibilidades de Caixa Bruta (A)</t>
        </is>
      </c>
      <c r="B5" s="163" t="n">
        <v>25670372.68</v>
      </c>
    </row>
    <row r="6" ht="22.05" customHeight="1">
      <c r="A6" s="110" t="inlineStr">
        <is>
          <t>(-)Depósitos/ Consignações (B)</t>
        </is>
      </c>
      <c r="B6" s="158" t="n">
        <v>19973068.61</v>
      </c>
    </row>
    <row r="7" ht="22.05" customHeight="1">
      <c r="A7" s="113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0" t="inlineStr">
        <is>
          <t>(-)Restos a pagar (exercícios anteriores) (E)</t>
        </is>
      </c>
      <c r="B9" s="158" t="n">
        <v>10094584.25</v>
      </c>
    </row>
    <row r="10" ht="22.05" customHeight="1">
      <c r="A10" s="113" t="inlineStr">
        <is>
          <t>(-)Restos a pagar PROCESSADOS (inscritos no exercício) (F)</t>
        </is>
      </c>
      <c r="B10" s="163" t="n">
        <v>3557729.22</v>
      </c>
    </row>
    <row r="11" ht="22.05" customHeight="1">
      <c r="A11" s="110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3" t="inlineStr">
        <is>
          <t>(+)Restos a pagar (pago) (I)</t>
        </is>
      </c>
      <c r="B13" s="163" t="n">
        <v>8187197.33</v>
      </c>
    </row>
    <row r="14" ht="22.05" customHeight="1">
      <c r="A14" s="110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3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6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16 – Análise de Depósitos Restituíveis e Valores Vinculados</t>
        </is>
      </c>
    </row>
    <row r="2" ht="30" customHeight="1">
      <c r="A2" s="12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17 – Base de Cálculo do Índice de Saúde</t>
        </is>
      </c>
    </row>
    <row r="2" ht="30" customHeight="1">
      <c r="A2" s="12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7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7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7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78" t="n">
        <v>0</v>
      </c>
    </row>
    <row r="14" ht="22.05" customHeight="1">
      <c r="A14" s="113" t="inlineStr">
        <is>
          <t>Multas, juros de mora, dívida ativa e outros encargos do ITR</t>
        </is>
      </c>
      <c r="B14" s="179" t="n">
        <v>0</v>
      </c>
    </row>
    <row r="15" ht="22.05" customHeight="1">
      <c r="A15" s="110" t="inlineStr">
        <is>
          <t>Multas, juros de mora e outros encargos dos impostos</t>
        </is>
      </c>
      <c r="B15" s="178" t="n">
        <v>0</v>
      </c>
    </row>
    <row r="16" ht="19.95" customHeight="1">
      <c r="A16" s="113" t="inlineStr">
        <is>
          <t>Dívida ativa dos impostos</t>
        </is>
      </c>
      <c r="B16" s="179" t="n">
        <v>0</v>
      </c>
    </row>
    <row r="17" ht="19.95" customHeight="1">
      <c r="A17" s="110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3" t="inlineStr">
        <is>
          <t>Cota-parte FPM</t>
        </is>
      </c>
      <c r="B19" s="163" t="n">
        <v>48059649.24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79" t="n">
        <v>0</v>
      </c>
    </row>
    <row r="26" ht="19.95" customHeight="1">
      <c r="A26" s="110" t="inlineStr">
        <is>
          <t>Outras</t>
        </is>
      </c>
      <c r="B26" s="17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3" t="inlineStr">
        <is>
          <t>Quadro 18 – Despesas com Ações e Serviços de Saúde</t>
        </is>
      </c>
    </row>
    <row r="2">
      <c r="A2" s="126" t="inlineStr">
        <is>
          <t>Este quadro detalha as despesas realizadas com ações e serviços públicos de saúde.</t>
        </is>
      </c>
    </row>
    <row r="3" ht="15" customHeight="1"/>
    <row r="4" ht="15" customHeight="1">
      <c r="A4" s="104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5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5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5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58" t="n">
        <v>0</v>
      </c>
    </row>
    <row r="14" ht="22.05" customHeight="1">
      <c r="A14" s="113" t="inlineStr">
        <is>
          <t>Multas, Juros de Mora, Dívida Ativa e Outros Encargos do ITR</t>
        </is>
      </c>
      <c r="B14" s="163" t="n">
        <v>0</v>
      </c>
    </row>
    <row r="15" ht="22.05" customHeight="1">
      <c r="A15" s="110" t="inlineStr">
        <is>
          <t>Multas, Juros de Mora e Outros e Encargos dos Impostos</t>
        </is>
      </c>
      <c r="B15" s="158" t="n">
        <v>0</v>
      </c>
    </row>
    <row r="16" ht="19.95" customHeight="1">
      <c r="A16" s="113" t="inlineStr">
        <is>
          <t>Dívida Ativa dos Impostos</t>
        </is>
      </c>
      <c r="B16" s="163" t="n">
        <v>0</v>
      </c>
    </row>
    <row r="17" ht="19.95" customHeight="1">
      <c r="A17" s="110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3" t="inlineStr">
        <is>
          <t>Cota-parte FPM</t>
        </is>
      </c>
      <c r="B19" s="163" t="n">
        <v>53021100.6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63" t="n">
        <v>0</v>
      </c>
    </row>
    <row r="26" ht="19.95" customHeight="1">
      <c r="A26" s="110" t="inlineStr">
        <is>
          <t>Outras</t>
        </is>
      </c>
      <c r="B26" s="15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4" t="inlineStr">
        <is>
          <t>Quadro 20 – Despesas com Manutenção e Desenvolvimento do Ensino (MDE)</t>
        </is>
      </c>
    </row>
    <row r="2">
      <c r="A2" s="27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733547.7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5190188.82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25085271.12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3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7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3" t="inlineStr">
        <is>
          <t>Quadro 22 – Transferências de Recursos ao FUNDEB</t>
        </is>
      </c>
    </row>
    <row r="2">
      <c r="A2" s="126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80990971.86</v>
      </c>
    </row>
    <row r="6">
      <c r="A6" s="113" t="inlineStr">
        <is>
          <t>Transferências de recursos do FUNDEB (F)</t>
        </is>
      </c>
      <c r="B6" s="163" t="n">
        <v>32296423.63</v>
      </c>
    </row>
    <row r="7">
      <c r="A7" s="110" t="inlineStr">
        <is>
          <t>FUNDEB - Complementação da União - VAAF (G)</t>
        </is>
      </c>
      <c r="B7" s="158" t="n">
        <v>23186379.43</v>
      </c>
    </row>
    <row r="8">
      <c r="A8" s="113" t="inlineStr">
        <is>
          <t>FUNDEB - Complementação da União - VAAT (H)</t>
        </is>
      </c>
      <c r="B8" s="163" t="n">
        <v>23275228.88</v>
      </c>
    </row>
    <row r="9">
      <c r="A9" s="110" t="inlineStr">
        <is>
          <t>FUNDEB - Complementação da União - VAAR (I)</t>
        </is>
      </c>
      <c r="B9" s="158" t="n">
        <v>1499392.22</v>
      </c>
    </row>
    <row r="10">
      <c r="A10" s="113" t="inlineStr">
        <is>
          <t>Receita de aplicação financeira dos recursos do FUNDEB (J)</t>
        </is>
      </c>
      <c r="B10" s="163" t="n">
        <v>733547.7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6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3" t="inlineStr">
        <is>
          <t>Quadro SUBFUNÇÃO – Despesas da Educação · Função 12 (Anexo 06)</t>
        </is>
      </c>
    </row>
    <row r="2">
      <c r="A2" s="126" t="inlineStr">
        <is>
          <t>Despesas da Função 12 por subfunção, segregadas entre SEMED/MDE e FUNDEB, conforme coluna TOTAL do Anexo 06.</t>
        </is>
      </c>
    </row>
    <row r="3" ht="15" customHeight="1"/>
    <row r="4">
      <c r="A4" s="127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3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55644105.75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79491579.64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0.7216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</t>
        </is>
      </c>
      <c r="B4" s="243" t="inlineStr">
        <is>
          <t>Manutenção e Desenvolvimento do Ensino Fundamental</t>
        </is>
      </c>
      <c r="C4" s="244" t="n">
        <v>46754637.6</v>
      </c>
    </row>
    <row r="5" ht="34.05" customHeight="1">
      <c r="A5" s="242" t="inlineStr">
        <is>
          <t>12.361</t>
        </is>
      </c>
      <c r="B5" s="243" t="inlineStr">
        <is>
          <t>Remuneração dos Docentes — Ensino Fundamental</t>
        </is>
      </c>
      <c r="C5" s="244" t="n">
        <v>0</v>
      </c>
    </row>
    <row r="6">
      <c r="A6" s="242" t="inlineStr">
        <is>
          <t>12.361</t>
        </is>
      </c>
      <c r="B6" s="243" t="inlineStr">
        <is>
          <t>Tempo Integral — Ensino Fundamental</t>
        </is>
      </c>
      <c r="C6" s="244" t="n">
        <v>0</v>
      </c>
    </row>
    <row r="7">
      <c r="A7" s="242" t="inlineStr">
        <is>
          <t>12.365</t>
        </is>
      </c>
      <c r="B7" s="243" t="inlineStr">
        <is>
          <t>Manutenção e Desenvolvimento da Educação Infantil</t>
        </is>
      </c>
      <c r="C7" s="244" t="n">
        <v>8596722.48</v>
      </c>
    </row>
    <row r="8">
      <c r="A8" s="242" t="inlineStr">
        <is>
          <t>12.365</t>
        </is>
      </c>
      <c r="B8" s="243" t="inlineStr">
        <is>
          <t>VAAT 50% — Educação Infantil</t>
        </is>
      </c>
      <c r="C8" s="244" t="n">
        <v>0</v>
      </c>
    </row>
    <row r="9">
      <c r="A9" s="242" t="inlineStr">
        <is>
          <t>12.365</t>
        </is>
      </c>
      <c r="B9" s="243" t="inlineStr">
        <is>
          <t>Remuneração dos Docentes — Educação Infantil</t>
        </is>
      </c>
      <c r="C9" s="244" t="n">
        <v>0</v>
      </c>
    </row>
    <row r="10">
      <c r="A10" s="242" t="inlineStr">
        <is>
          <t>12.365</t>
        </is>
      </c>
      <c r="B10" s="243" t="inlineStr">
        <is>
          <t>Tempo Integral — Educação Infantil</t>
        </is>
      </c>
      <c r="C10" s="244" t="n">
        <v>0</v>
      </c>
    </row>
    <row r="11">
      <c r="A11" s="242" t="inlineStr">
        <is>
          <t>12.366</t>
        </is>
      </c>
      <c r="B11" s="243" t="inlineStr">
        <is>
          <t>Educação de Jovens e Adultos (EJA)</t>
        </is>
      </c>
      <c r="C11" s="244" t="n">
        <v>1607916.09</v>
      </c>
    </row>
    <row r="12">
      <c r="A12" s="242" t="inlineStr">
        <is>
          <t>12.367</t>
        </is>
      </c>
      <c r="B12" s="243" t="inlineStr">
        <is>
          <t>Atendimento Educacional Especializado (AEE) / Educação Especial</t>
        </is>
      </c>
      <c r="C12" s="244" t="n">
        <v>401625.72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8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49" t="inlineStr">
        <is>
          <t>DESCRIÇÃO</t>
        </is>
      </c>
      <c r="B2" s="250" t="inlineStr">
        <is>
          <t>VALOR MÍNIMO EXIGIDO</t>
        </is>
      </c>
      <c r="C2" s="250" t="inlineStr">
        <is>
          <t>VALOR APLICADO</t>
        </is>
      </c>
      <c r="D2" s="251" t="inlineStr">
        <is>
          <t>PERCENTUAL %</t>
        </is>
      </c>
    </row>
    <row r="3" ht="30" customHeight="1">
      <c r="A3" s="252" t="inlineStr">
        <is>
          <t>Mínimo de 50% da Complementação da União ao FUNDEB - (VAAT) na Educação Infantil</t>
        </is>
      </c>
      <c r="B3" s="253" t="n">
        <v>11637614.44</v>
      </c>
      <c r="C3" s="253" t="n">
        <v>13078681.8</v>
      </c>
      <c r="D3" s="254" t="n">
        <v>0.5619</v>
      </c>
    </row>
    <row r="4" ht="15" customHeight="1">
      <c r="A4" s="255" t="inlineStr">
        <is>
          <t>Mínimo de 15% da Complementação da União ao FUNDEB - (VAAT) em Despesas de Capital</t>
        </is>
      </c>
      <c r="B4" s="256" t="n">
        <v>3491284.33</v>
      </c>
      <c r="C4" s="256" t="n">
        <v>7550619.91</v>
      </c>
      <c r="D4" s="257" t="n">
        <v>0.3244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4874224.0,"parcela_dedutivel_piso_enfermeiro":3653974.88,"subtotal_deducoes":10963492.6},"despesa_liquida_pessoal_restos_pagar":0.0,"despesa_liquida_com_pessoal":109590757.19,"base_calculo_rcl":223929249.31,"percentual_aplicacao_despesa_pessoal":0.4894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733547.7,"superavit_exercicio_anterior_fundeb":0.0,"outros_recursos":5190188.82,"rp_sem_disponibilidade_financeira":0.0,"cancelamento_rp_com_disponibilidade":0.0,"total_despesas_para_fins_de_limite":25085271.12,"base_calculo_informada":96055241.78,"percentual_aplicacao_ensino":26.12,"observacoes":["SEMED — subfunção 361: '17.2037.0000 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80990971.86,"transferencias_recursos_fundeb_f":32296423.63,"complementacao_uniao_vaaf_g":23186379.43,"complementacao_uniao_vaat_h":23275228.88,"complementacao_uniao_vaar_i":1499392.22,"receita_aplicacao_financeira_fundeb_j":733547.7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'17.2037.0000 MANUTENÇÃO DO SERVIÇO DE TRANSPORTE ES COLAR' (12.361.0017.2037.0000) = 0,00"]},"quadro_24":{"municipio":"PRESIDENTE DUTRA","exercicio":"2024","minimo_exigido":55644105.75,"percentual_exigido":70.0,"valor_aplicado_remuneracao":57360901.89,"rp_sem_disponibilidade":0.0,"superavit_exercicio_anterior":0.0,"base_calculo":79491579.64,"base_calculo_bruta":80257424.16,"receita_aplicacao_financeira":733547.7,"vaar_removido":1499392.22,"percentual_aplicado":72.16,"total_fundeb_70":57360901.89,"acoes_encontradas":[{"codigo":"12.361.0015.2031.0000","descricao":"15.2031.0000 MANUTENÇÃO E FUNCIONAMENTO DO FUNDEB - 70%","valor":46754637.6},{"codigo":"12.365.0014.2038.0000","descricao":"14.2038.0000 MANUT. DO DESENVOL. ENSINO INFANTIL 70% - V AAT 50%","valor":8596722.48},{"codigo":"12.366.0053.2071.0000","descricao":"53.2071.0000 MANUT. FUNC. DO PROG. EDUC. JOVEM E ADULT O - EJA 70%","valor":1607916.09},{"codigo":"12.367.0022.2135.0000","descricao":"22.2135.0000 MANUTENÇÃO E FUNCIONAMENTO DA EDUCAÇÃ O ESPECIAL 70%","valor":401625.72}],"fundeb_30_total":4248422.71,"capital_total":10073996.83,"nao_classificado_total":3557520.0,"nao_classificado_itens":[{"codigo":"12.361.0017.2034.0000","descricao":"17.2034.0000 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Fundamental","subfuncao":"361","encontrado":true,"segregado":false,"valor_total":46754637.6,"componentes":[{"codigo_fonte":"12.361.0015.2031.0000","descricao_fonte":"15.2031.0000 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Infantil","subfuncao":"365","encontrado":true,"segregado":false,"valor_total":8596722.48,"componentes":[{"codigo_fonte":"12.365.0014.2038.0000","descricao_fonte":"14.2038.0000 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(EJA)","subfuncao":"366","encontrado":true,"segregado":true,"valor_total":1607916.09,"componentes":[{"codigo_fonte":"12.366.0053.2071.0000","descricao_fonte":"53.2071.0000 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Especial","subfuncao":"367","encontrado":true,"segregado":false,"valor_total":401625.72,"componentes":[{"codigo_fonte":"12.367.0022.2135.0000","descricao_fonte":"22.2135.0000 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separada."}],"fora_das_9_rubricas":[],"total_fora_das_9_rubricas":0,"total":57360901.89,"acoes":[{"codigo":"12.361.0015.2031.0000","descricao":"15.2031.0000 MANUTENÇÃO E FUNCIONAMENTO DO FUNDEB - 70%","valor":46754637.6},{"codigo":"12.365.0014.2038.0000","descricao":"14.2038.0000 MANUT. DO DESENVOL. ENSINO INFANTIL 70% - V AAT 50%","valor":8596722.48},{"codigo":"12.366.0053.2071.0000","descricao":"53.2071.0000 MANUT. FUNC. DO PROG. EDUC. JOVEM E ADULT O - EJA 70%","valor":1607916.09},{"codigo":"12.367.0022.2135.0000","descricao":"22.2135.0000 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8" t="inlineStr">
        <is>
          <t>DADOS PARA PREENCHIMENTO MANUAL — PRESIDENTE DUTRA  /  EXERCÍCIO 2024</t>
        </is>
      </c>
    </row>
    <row r="2" ht="18" customHeight="1">
      <c r="A2" s="259" t="inlineStr">
        <is>
          <t>Preencha a coluna B (VALOR). Após salvar, re-envie este arquivo para gerar o Relatório RIT.</t>
        </is>
      </c>
    </row>
    <row r="3" ht="20" customHeight="1">
      <c r="A3" s="260" t="inlineStr">
        <is>
          <t>CAMPO</t>
        </is>
      </c>
      <c r="B3" s="260" t="inlineStr">
        <is>
          <t>VALOR</t>
        </is>
      </c>
      <c r="C3" s="260" t="inlineStr">
        <is>
          <t>DESCRIÇÃO</t>
        </is>
      </c>
      <c r="D3" s="260" t="inlineStr">
        <is>
          <t>EXEMPLO</t>
        </is>
      </c>
    </row>
    <row r="4" ht="18" customHeight="1">
      <c r="A4" s="261" t="inlineStr">
        <is>
          <t xml:space="preserve">  IDENTIFICAÇÃO DO PROCESSO</t>
        </is>
      </c>
    </row>
    <row r="5" ht="16" customHeight="1">
      <c r="A5" s="262" t="inlineStr">
        <is>
          <t>rit_numero</t>
        </is>
      </c>
      <c r="B5" s="263" t="inlineStr"/>
      <c r="C5" s="264" t="inlineStr">
        <is>
          <t>Número do RIT</t>
        </is>
      </c>
      <c r="D5" s="264" t="inlineStr">
        <is>
          <t>RIT-001/2024</t>
        </is>
      </c>
    </row>
    <row r="6" ht="16" customHeight="1">
      <c r="A6" s="262" t="inlineStr">
        <is>
          <t>processo_numero</t>
        </is>
      </c>
      <c r="B6" s="263" t="inlineStr"/>
      <c r="C6" s="264" t="inlineStr">
        <is>
          <t>Número do processo</t>
        </is>
      </c>
      <c r="D6" s="264" t="inlineStr">
        <is>
          <t>00100-2024</t>
        </is>
      </c>
    </row>
    <row r="7" ht="16" customHeight="1">
      <c r="A7" s="262" t="inlineStr">
        <is>
          <t>processo_ano</t>
        </is>
      </c>
      <c r="B7" s="263" t="inlineStr"/>
      <c r="C7" s="264" t="inlineStr">
        <is>
          <t>Ano do processo</t>
        </is>
      </c>
      <c r="D7" s="264" t="inlineStr">
        <is>
          <t>2024</t>
        </is>
      </c>
    </row>
    <row r="8" ht="16" customHeight="1">
      <c r="A8" s="262" t="inlineStr">
        <is>
          <t>relator_nome</t>
        </is>
      </c>
      <c r="B8" s="263" t="inlineStr"/>
      <c r="C8" s="264" t="inlineStr">
        <is>
          <t>Nome do relator (TCE)</t>
        </is>
      </c>
      <c r="D8" s="264" t="inlineStr">
        <is>
          <t>Conselheiro João da Silva</t>
        </is>
      </c>
    </row>
    <row r="9" ht="18" customHeight="1">
      <c r="A9" s="261" t="inlineStr">
        <is>
          <t xml:space="preserve">  RESPONSÁVEL PELO MUNICÍPIO</t>
        </is>
      </c>
    </row>
    <row r="10" ht="16" customHeight="1">
      <c r="A10" s="262" t="inlineStr">
        <is>
          <t>responsavel_nome</t>
        </is>
      </c>
      <c r="B10" s="263" t="inlineStr"/>
      <c r="C10" s="264" t="inlineStr">
        <is>
          <t>Nome do responsável (Prefeito/a)</t>
        </is>
      </c>
      <c r="D10" s="264" t="inlineStr">
        <is>
          <t>Maria Souza</t>
        </is>
      </c>
    </row>
    <row r="11" ht="16" customHeight="1">
      <c r="A11" s="262" t="inlineStr">
        <is>
          <t>responsavel_cpf</t>
        </is>
      </c>
      <c r="B11" s="263" t="inlineStr"/>
      <c r="C11" s="264" t="inlineStr">
        <is>
          <t>CPF do responsável</t>
        </is>
      </c>
      <c r="D11" s="264" t="inlineStr">
        <is>
          <t>000.000.000-00</t>
        </is>
      </c>
    </row>
    <row r="12" ht="18" customHeight="1">
      <c r="A12" s="261" t="inlineStr">
        <is>
          <t xml:space="preserve">  LOCALIZAÇÃO GEOGRÁFICA</t>
        </is>
      </c>
    </row>
    <row r="13" ht="16" customHeight="1">
      <c r="A13" s="262" t="inlineStr">
        <is>
          <t>municipio_uf</t>
        </is>
      </c>
      <c r="B13" s="263" t="inlineStr"/>
      <c r="C13" s="264" t="inlineStr">
        <is>
          <t>Sigla do estado (ex: MA)</t>
        </is>
      </c>
      <c r="D13" s="264" t="inlineStr">
        <is>
          <t>MA</t>
        </is>
      </c>
    </row>
    <row r="14" ht="16" customHeight="1">
      <c r="A14" s="262" t="inlineStr">
        <is>
          <t>municipio_estado</t>
        </is>
      </c>
      <c r="B14" s="263" t="inlineStr"/>
      <c r="C14" s="264" t="inlineStr">
        <is>
          <t>Estado por extenso</t>
        </is>
      </c>
      <c r="D14" s="264" t="inlineStr">
        <is>
          <t>Maranhão</t>
        </is>
      </c>
    </row>
    <row r="15" ht="16" customHeight="1">
      <c r="A15" s="262" t="inlineStr">
        <is>
          <t>municipio_regiao</t>
        </is>
      </c>
      <c r="B15" s="263" t="inlineStr"/>
      <c r="C15" s="264" t="inlineStr">
        <is>
          <t>Mesorregião / região</t>
        </is>
      </c>
      <c r="D15" s="264" t="inlineStr">
        <is>
          <t>Baixada Maranhense</t>
        </is>
      </c>
    </row>
    <row r="16" ht="18" customHeight="1">
      <c r="A16" s="261" t="inlineStr">
        <is>
          <t xml:space="preserve">  PERFIL SOCIOECONÔMICO</t>
        </is>
      </c>
    </row>
    <row r="17" ht="16" customHeight="1">
      <c r="A17" s="262" t="inlineStr">
        <is>
          <t>populacao_estimada</t>
        </is>
      </c>
      <c r="B17" s="263" t="inlineStr"/>
      <c r="C17" s="264" t="inlineStr">
        <is>
          <t>População estimada (hab.)</t>
        </is>
      </c>
      <c r="D17" s="264" t="inlineStr">
        <is>
          <t>48000</t>
        </is>
      </c>
    </row>
    <row r="18" ht="16" customHeight="1">
      <c r="A18" s="262" t="inlineStr">
        <is>
          <t>area_territorial</t>
        </is>
      </c>
      <c r="B18" s="263" t="inlineStr"/>
      <c r="C18" s="264" t="inlineStr">
        <is>
          <t>Área territorial (km²)</t>
        </is>
      </c>
      <c r="D18" s="264" t="inlineStr">
        <is>
          <t>5273.40</t>
        </is>
      </c>
    </row>
    <row r="19" ht="16" customHeight="1">
      <c r="A19" s="262" t="inlineStr">
        <is>
          <t>pib_per_capita</t>
        </is>
      </c>
      <c r="B19" s="263" t="inlineStr"/>
      <c r="C19" s="264" t="inlineStr">
        <is>
          <t>PIB per capita (R$)</t>
        </is>
      </c>
      <c r="D19" s="264" t="inlineStr">
        <is>
          <t>12300.00</t>
        </is>
      </c>
    </row>
    <row r="20" ht="16" customHeight="1">
      <c r="A20" s="262" t="inlineStr">
        <is>
          <t>idh</t>
        </is>
      </c>
      <c r="B20" s="263" t="inlineStr"/>
      <c r="C20" s="264" t="inlineStr">
        <is>
          <t>IDH (0,000 a 1,000)</t>
        </is>
      </c>
      <c r="D20" s="264" t="inlineStr">
        <is>
          <t>0.619</t>
        </is>
      </c>
    </row>
    <row r="21" ht="16" customHeight="1">
      <c r="A21" s="262" t="inlineStr">
        <is>
          <t>classificacao_idh</t>
        </is>
      </c>
      <c r="B21" s="263" t="inlineStr"/>
      <c r="C21" s="264" t="inlineStr">
        <is>
          <t>Classificação do IDH</t>
        </is>
      </c>
      <c r="D21" s="264" t="inlineStr">
        <is>
          <t>Médio Desenvolvimento</t>
        </is>
      </c>
    </row>
    <row r="22" ht="16" customHeight="1">
      <c r="A22" s="262" t="inlineStr">
        <is>
          <t>ideb</t>
        </is>
      </c>
      <c r="B22" s="263" t="inlineStr"/>
      <c r="C22" s="264" t="inlineStr">
        <is>
          <t>IDEB (0,0 a 10,0)</t>
        </is>
      </c>
      <c r="D22" s="264" t="inlineStr">
        <is>
          <t>4.2</t>
        </is>
      </c>
    </row>
    <row r="23" ht="16" customHeight="1">
      <c r="A23" s="262" t="inlineStr">
        <is>
          <t>classificacao_ideb</t>
        </is>
      </c>
      <c r="B23" s="263" t="inlineStr"/>
      <c r="C23" s="264" t="inlineStr">
        <is>
          <t>Classificação do IDEB</t>
        </is>
      </c>
      <c r="D23" s="264" t="inlineStr">
        <is>
          <t>Abaixo da Meta Nacional</t>
        </is>
      </c>
    </row>
    <row r="24" ht="16" customHeight="1">
      <c r="A24" s="262" t="inlineStr">
        <is>
          <t>descricao_atividades</t>
        </is>
      </c>
      <c r="B24" s="263" t="inlineStr"/>
      <c r="C24" s="264" t="inlineStr">
        <is>
          <t>Principais atividades econômicas</t>
        </is>
      </c>
      <c r="D24" s="264" t="inlineStr">
        <is>
          <t>Comércio, agropecuária e serviços públicos</t>
        </is>
      </c>
    </row>
    <row r="25" ht="18" customHeight="1">
      <c r="A25" s="261" t="inlineStr">
        <is>
          <t xml:space="preserve">  CÂMARA MUNICIPAL</t>
        </is>
      </c>
    </row>
    <row r="26" ht="16" customHeight="1">
      <c r="A26" s="262" t="inlineStr">
        <is>
          <t>camara_pct_limite</t>
        </is>
      </c>
      <c r="B26" s="263" t="inlineStr"/>
      <c r="C26" s="264" t="inlineStr">
        <is>
          <t>Limite legal da Câmara (% da RCL)</t>
        </is>
      </c>
      <c r="D26" s="264" t="inlineStr">
        <is>
          <t>3.5</t>
        </is>
      </c>
    </row>
    <row r="27" ht="16" customHeight="1">
      <c r="A27" s="262" t="inlineStr">
        <is>
          <t>camara_repassado</t>
        </is>
      </c>
      <c r="B27" s="263" t="inlineStr"/>
      <c r="C27" s="264" t="inlineStr">
        <is>
          <t>Valor total repassado à Câmara (R$)</t>
        </is>
      </c>
      <c r="D27" s="264" t="inlineStr">
        <is>
          <t>1500000.00</t>
        </is>
      </c>
    </row>
    <row r="28" ht="16" customHeight="1">
      <c r="A28" s="262" t="inlineStr">
        <is>
          <t>camara_pct_apurado</t>
        </is>
      </c>
      <c r="B28" s="263" t="inlineStr"/>
      <c r="C28" s="264" t="inlineStr">
        <is>
          <t>Percentual apurado (%)</t>
        </is>
      </c>
      <c r="D28" s="264" t="inlineStr">
        <is>
          <t>3.20</t>
        </is>
      </c>
    </row>
    <row r="29" ht="16" customHeight="1">
      <c r="A29" s="262" t="inlineStr">
        <is>
          <t>camara_sit_limite</t>
        </is>
      </c>
      <c r="B29" s="263" t="inlineStr"/>
      <c r="C29" s="264" t="inlineStr">
        <is>
          <t>Situação do repasse vs. limite</t>
        </is>
      </c>
      <c r="D29" s="264" t="inlineStr">
        <is>
          <t>Dentro do limite</t>
        </is>
      </c>
    </row>
    <row r="30" ht="16" customHeight="1">
      <c r="A30" s="262" t="inlineStr">
        <is>
          <t>camara_prazo</t>
        </is>
      </c>
      <c r="B30" s="263" t="inlineStr"/>
      <c r="C30" s="264" t="inlineStr">
        <is>
          <t>Situação do prazo de repasse</t>
        </is>
      </c>
      <c r="D30" s="264" t="inlineStr">
        <is>
          <t>Repassado até o dia 20</t>
        </is>
      </c>
    </row>
    <row r="31" ht="18" customHeight="1">
      <c r="A31" s="261" t="inlineStr">
        <is>
          <t xml:space="preserve">  TRANSPARÊNCIA</t>
        </is>
      </c>
    </row>
    <row r="32" ht="16" customHeight="1">
      <c r="A32" s="262" t="inlineStr">
        <is>
          <t>transp_faixa</t>
        </is>
      </c>
      <c r="B32" s="263" t="inlineStr"/>
      <c r="C32" s="264" t="inlineStr">
        <is>
          <t>Faixa de transparência obtida</t>
        </is>
      </c>
      <c r="D32" s="264" t="inlineStr">
        <is>
          <t>Diamante</t>
        </is>
      </c>
    </row>
    <row r="33" ht="18" customHeight="1">
      <c r="A33" s="261" t="inlineStr">
        <is>
          <t xml:space="preserve">  DÍVIDA CONSOLIDADA (Q7 — preencher manualmente)</t>
        </is>
      </c>
    </row>
    <row r="34" ht="16" customHeight="1">
      <c r="A34" s="262" t="inlineStr">
        <is>
          <t>divida_saldo</t>
        </is>
      </c>
      <c r="B34" s="263" t="inlineStr"/>
      <c r="C34" s="264" t="inlineStr">
        <is>
          <t>Saldo da DCL (R$)</t>
        </is>
      </c>
      <c r="D34" s="264" t="inlineStr">
        <is>
          <t>0.00</t>
        </is>
      </c>
    </row>
    <row r="35" ht="16" customHeight="1">
      <c r="A35" s="262" t="inlineStr">
        <is>
          <t>divida_pct_rcl</t>
        </is>
      </c>
      <c r="B35" s="263" t="inlineStr"/>
      <c r="C35" s="264" t="inlineStr">
        <is>
          <t>DCL apurada (% da RCL)</t>
        </is>
      </c>
      <c r="D35" s="264" t="inlineStr">
        <is>
          <t>0.00</t>
        </is>
      </c>
    </row>
    <row r="36" ht="16" customHeight="1">
      <c r="A36" s="262" t="inlineStr">
        <is>
          <t>divida_limite</t>
        </is>
      </c>
      <c r="B36" s="263" t="inlineStr"/>
      <c r="C36" s="264" t="inlineStr">
        <is>
          <t>Limite legal da DCL (% da RCL)</t>
        </is>
      </c>
      <c r="D36" s="264" t="inlineStr">
        <is>
          <t>120</t>
        </is>
      </c>
    </row>
    <row r="37" ht="16" customHeight="1">
      <c r="A37" s="262" t="inlineStr">
        <is>
          <t>divida_alerta</t>
        </is>
      </c>
      <c r="B37" s="263" t="inlineStr"/>
      <c r="C37" s="264" t="inlineStr">
        <is>
          <t>Patamar de alerta da DCL (% da RCL)</t>
        </is>
      </c>
      <c r="D37" s="264" t="inlineStr">
        <is>
          <t>90</t>
        </is>
      </c>
    </row>
    <row r="38" ht="16" customHeight="1">
      <c r="A38" s="262" t="inlineStr">
        <is>
          <t>divida_situacao</t>
        </is>
      </c>
      <c r="B38" s="263" t="inlineStr"/>
      <c r="C38" s="264" t="inlineStr">
        <is>
          <t>Situação da dívida</t>
        </is>
      </c>
      <c r="D38" s="264" t="inlineStr">
        <is>
          <t>Dentro do limite</t>
        </is>
      </c>
    </row>
    <row r="39" ht="18" customHeight="1">
      <c r="A39" s="261" t="inlineStr">
        <is>
          <t xml:space="preserve">  DESPESA COM PESSOAL — COMPLEMENTOS</t>
        </is>
      </c>
    </row>
    <row r="40" ht="16" customHeight="1">
      <c r="A40" s="262" t="inlineStr">
        <is>
          <t>dp_pct_inicio_sem</t>
        </is>
      </c>
      <c r="B40" s="263" t="inlineStr"/>
      <c r="C40" s="264" t="inlineStr">
        <is>
          <t>% Pessoal início do 1º semestre</t>
        </is>
      </c>
      <c r="D40" s="264" t="inlineStr">
        <is>
          <t>51.20</t>
        </is>
      </c>
    </row>
    <row r="41" ht="16" customHeight="1">
      <c r="A41" s="262" t="inlineStr">
        <is>
          <t>dp_regime_especial</t>
        </is>
      </c>
      <c r="B41" s="263" t="inlineStr"/>
      <c r="C41" s="264" t="inlineStr">
        <is>
          <t>Regime especial LRF art. 23 ativo?</t>
        </is>
      </c>
      <c r="D41" s="264" t="inlineStr">
        <is>
          <t>Não</t>
        </is>
      </c>
    </row>
    <row r="42" ht="16" customHeight="1">
      <c r="A42" s="262" t="inlineStr">
        <is>
          <t>dp_restricao_mandato</t>
        </is>
      </c>
      <c r="B42" s="263" t="inlineStr"/>
      <c r="C42" s="264" t="inlineStr">
        <is>
          <t>Observações sobre restrições</t>
        </is>
      </c>
      <c r="D42" s="264" t="inlineStr">
        <is>
          <t>Não se aplica</t>
        </is>
      </c>
    </row>
    <row r="43" ht="18" customHeight="1">
      <c r="A43" s="261" t="inlineStr">
        <is>
          <t xml:space="preserve">  COMPARATIVO LOA x BALANÇO ORÇAMENTÁRIO (Q11 — preencher se a LOA não foi enviada)</t>
        </is>
      </c>
    </row>
    <row r="44" ht="16" customHeight="1">
      <c r="A44" s="262" t="inlineStr">
        <is>
          <t>q11_loa_receita</t>
        </is>
      </c>
      <c r="B44" s="263" t="inlineStr"/>
      <c r="C44" s="264" t="inlineStr">
        <is>
          <t>Receita prevista na LOA (R$)</t>
        </is>
      </c>
      <c r="D44" s="264" t="inlineStr">
        <is>
          <t>50000000.00</t>
        </is>
      </c>
    </row>
    <row r="45" ht="16" customHeight="1">
      <c r="A45" s="262" t="inlineStr">
        <is>
          <t>q11_loa_despesa</t>
        </is>
      </c>
      <c r="B45" s="263" t="inlineStr"/>
      <c r="C45" s="264" t="inlineStr">
        <is>
          <t>Dotação inicial da despesa na LOA (R$)</t>
        </is>
      </c>
      <c r="D45" s="264" t="inlineStr">
        <is>
          <t>50000000.00</t>
        </is>
      </c>
    </row>
    <row r="46" ht="18" customHeight="1">
      <c r="A46" s="261" t="inlineStr">
        <is>
          <t xml:space="preserve">  FUNDEB 70% (Q24)</t>
        </is>
      </c>
    </row>
    <row r="47" ht="16" customHeight="1">
      <c r="A47" s="262" t="inlineStr">
        <is>
          <t>q24_pct_exigido</t>
        </is>
      </c>
      <c r="B47" s="263" t="inlineStr"/>
      <c r="C47" s="264" t="inlineStr">
        <is>
          <t>Percentual exigido pelo TCE (%)</t>
        </is>
      </c>
      <c r="D47" s="264" t="inlineStr">
        <is>
          <t>70</t>
        </is>
      </c>
    </row>
    <row r="48" ht="18" customHeight="1">
      <c r="A48" s="261" t="inlineStr">
        <is>
          <t xml:space="preserve">  PROCESSO ORÇAMENTÁRIO</t>
        </is>
      </c>
    </row>
    <row r="49" ht="16" customHeight="1">
      <c r="A49" s="262" t="inlineStr">
        <is>
          <t>proc_envio</t>
        </is>
      </c>
      <c r="B49" s="263" t="inlineStr"/>
      <c r="C49" s="264" t="inlineStr">
        <is>
          <t>Situação do envio das peças ao TCE</t>
        </is>
      </c>
      <c r="D49" s="264" t="inlineStr">
        <is>
          <t>Enviado dentro do prazo</t>
        </is>
      </c>
    </row>
    <row r="50" ht="16" customHeight="1">
      <c r="A50" s="262" t="inlineStr">
        <is>
          <t>proc_publicacao</t>
        </is>
      </c>
      <c r="B50" s="263" t="inlineStr"/>
      <c r="C50" s="264" t="inlineStr">
        <is>
          <t>Situação da publicação da LOA</t>
        </is>
      </c>
      <c r="D50" s="264" t="inlineStr">
        <is>
          <t>Publicada em 28/12/2023</t>
        </is>
      </c>
    </row>
    <row r="51" ht="18" customHeight="1">
      <c r="A51" s="261" t="inlineStr">
        <is>
          <t xml:space="preserve">  ESCRITURAÇÃO CONTÁBIL</t>
        </is>
      </c>
    </row>
    <row r="52" ht="16" customHeight="1">
      <c r="A52" s="262" t="inlineStr">
        <is>
          <t>escrit_relatorio</t>
        </is>
      </c>
      <c r="B52" s="263" t="inlineStr"/>
      <c r="C52" s="264" t="inlineStr">
        <is>
          <t>Situação do Relatório de Gestão Fiscal</t>
        </is>
      </c>
      <c r="D52" s="264" t="inlineStr">
        <is>
          <t>Publicado nos prazos</t>
        </is>
      </c>
    </row>
    <row r="53" ht="16" customHeight="1">
      <c r="A53" s="262" t="inlineStr">
        <is>
          <t>escrit_assinatura</t>
        </is>
      </c>
      <c r="B53" s="263" t="inlineStr"/>
      <c r="C53" s="264" t="inlineStr">
        <is>
          <t>Situação das assinaturas das peças</t>
        </is>
      </c>
      <c r="D53" s="264" t="inlineStr">
        <is>
          <t>Devidamente assinadas</t>
        </is>
      </c>
    </row>
    <row r="54" ht="16" customHeight="1">
      <c r="A54" s="262" t="inlineStr">
        <is>
          <t>contabil_apres</t>
        </is>
      </c>
      <c r="B54" s="263" t="inlineStr"/>
      <c r="C54" s="264" t="inlineStr">
        <is>
          <t>Demonstrações foram apresentadas?</t>
        </is>
      </c>
      <c r="D54" s="264" t="inlineStr">
        <is>
          <t>Apresentadas</t>
        </is>
      </c>
    </row>
    <row r="55" ht="16" customHeight="1">
      <c r="A55" s="262" t="inlineStr">
        <is>
          <t>contabil_conform</t>
        </is>
      </c>
      <c r="B55" s="263" t="inlineStr"/>
      <c r="C55" s="264" t="inlineStr">
        <is>
          <t>Conformidade geral da escrituração</t>
        </is>
      </c>
      <c r="D55" s="264" t="inlineStr">
        <is>
          <t>Conforme</t>
        </is>
      </c>
    </row>
    <row r="56" ht="16" customHeight="1">
      <c r="A56" s="262" t="inlineStr">
        <is>
          <t>dep_inconsistencia</t>
        </is>
      </c>
      <c r="B56" s="263" t="inlineStr"/>
      <c r="C56" s="264" t="inlineStr">
        <is>
          <t>Inconsistência de depósitos (Q16)</t>
        </is>
      </c>
      <c r="D56" s="264" t="inlineStr">
        <is>
          <t>Sem inconsistência</t>
        </is>
      </c>
    </row>
    <row r="57" ht="18" customHeight="1">
      <c r="A57" s="261" t="inlineStr">
        <is>
          <t xml:space="preserve">  OBSERVAÇÕES GERAIS</t>
        </is>
      </c>
    </row>
    <row r="58" ht="16" customHeight="1">
      <c r="A58" s="262" t="inlineStr">
        <is>
          <t>obs_gerais</t>
        </is>
      </c>
      <c r="B58" s="263" t="inlineStr"/>
      <c r="C58" s="264" t="inlineStr">
        <is>
          <t>Observações adicionais</t>
        </is>
      </c>
      <c r="D58" s="264" t="inlineStr"/>
    </row>
  </sheetData>
  <mergeCells count="15">
    <mergeCell ref="A1:D1"/>
    <mergeCell ref="A9:D9"/>
    <mergeCell ref="A31:D31"/>
    <mergeCell ref="A12:D12"/>
    <mergeCell ref="A4:D4"/>
    <mergeCell ref="A48:D48"/>
    <mergeCell ref="A39:D39"/>
    <mergeCell ref="A25:D25"/>
    <mergeCell ref="A43:D43"/>
    <mergeCell ref="A51:D51"/>
    <mergeCell ref="A2:D2"/>
    <mergeCell ref="A16:D16"/>
    <mergeCell ref="A33:D33"/>
    <mergeCell ref="A57:D5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2026-07-21T15:34:19Z</dcterms:created>
  <dcterms:modified xsi:type="dcterms:W3CDTF">2026-07-21T15:34:20Z</dcterms:modified>
</cp:coreProperties>
</file>