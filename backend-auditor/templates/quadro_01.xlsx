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lanilha1" sheetId="1" state="visible" r:id="rId1"/>
    <sheet name="JSON_Extraca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Calibri"/>
      <i val="1"/>
      <color rgb="FF595959"/>
      <sz val="10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Calibri"/>
      <b val="1"/>
      <color rgb="FFB8860B"/>
      <sz val="13"/>
    </font>
    <font>
      <name val="Aptos Narrow"/>
      <family val="2"/>
      <b val="1"/>
      <color rgb="FFB8860B"/>
      <sz val="11"/>
      <scheme val="minor"/>
    </font>
    <font>
      <name val="Aptos Narrow"/>
      <family val="2"/>
      <b val="1"/>
      <color rgb="FFB8860B"/>
      <sz val="13"/>
      <scheme val="minor"/>
    </font>
    <font>
      <name val="Aptos Narrow"/>
      <family val="2"/>
      <i val="1"/>
      <color rgb="FF808080"/>
      <sz val="11"/>
      <scheme val="minor"/>
    </font>
    <font>
      <name val="Consolas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</fills>
  <borders count="11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4" fillId="2" borderId="0" pivotButton="0" quotePrefix="0" xfId="0"/>
    <xf numFmtId="0" fontId="3" fillId="3" borderId="1" applyAlignment="1" pivotButton="0" quotePrefix="0" xfId="0">
      <alignment horizontal="left"/>
    </xf>
    <xf numFmtId="0" fontId="5" fillId="4" borderId="2" pivotButton="0" quotePrefix="0" xfId="0"/>
    <xf numFmtId="0" fontId="0" fillId="0" borderId="2" applyAlignment="1" pivotButton="0" quotePrefix="0" xfId="0">
      <alignment indent="1"/>
    </xf>
    <xf numFmtId="0" fontId="3" fillId="3" borderId="3" pivotButton="0" quotePrefix="0" xfId="0"/>
    <xf numFmtId="0" fontId="3" fillId="3" borderId="4" applyAlignment="1" pivotButton="0" quotePrefix="0" xfId="0">
      <alignment horizontal="center"/>
    </xf>
    <xf numFmtId="0" fontId="5" fillId="4" borderId="7" pivotButton="0" quotePrefix="0" xfId="0"/>
    <xf numFmtId="0" fontId="0" fillId="0" borderId="9" applyAlignment="1" pivotButton="0" quotePrefix="0" xfId="0">
      <alignment indent="1"/>
    </xf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7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8" fillId="0" borderId="0" applyAlignment="1" pivotButton="0" quotePrefix="0" xfId="0">
      <alignment vertical="top" wrapText="1"/>
    </xf>
    <xf numFmtId="49" fontId="5" fillId="4" borderId="8" applyAlignment="1" pivotButton="0" quotePrefix="0" xfId="0">
      <alignment horizontal="left"/>
    </xf>
    <xf numFmtId="49" fontId="0" fillId="0" borderId="5" applyAlignment="1" pivotButton="0" quotePrefix="0" xfId="0">
      <alignment horizontal="left"/>
    </xf>
    <xf numFmtId="49" fontId="5" fillId="4" borderId="5" applyAlignment="1" pivotButton="0" quotePrefix="0" xfId="0">
      <alignment horizontal="left"/>
    </xf>
    <xf numFmtId="49" fontId="0" fillId="0" borderId="10" applyAlignment="1" pivotButton="0" quotePrefix="0" xfId="0">
      <alignment horizontal="left"/>
    </xf>
    <xf numFmtId="49" fontId="3" fillId="3" borderId="6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tabSelected="1" zoomScale="85" zoomScaleNormal="85" workbookViewId="0">
      <selection activeCell="E6" sqref="E6"/>
    </sheetView>
  </sheetViews>
  <sheetFormatPr baseColWidth="8" defaultRowHeight="14.4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2" t="inlineStr">
        <is>
          <t>Quadro 1 – Base de Cálculo para Repasse à Câmara Municipal</t>
        </is>
      </c>
    </row>
    <row r="2" ht="30" customHeight="1">
      <c r="A2" s="1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 thickBot="1"/>
    <row r="4" ht="19.95" customHeight="1">
      <c r="A4" s="3" t="inlineStr">
        <is>
          <t>DESCRIÇÃO</t>
        </is>
      </c>
      <c r="B4" s="7" t="inlineStr">
        <is>
          <t>VALOR ARRECADADO (R$)</t>
        </is>
      </c>
    </row>
    <row r="5" ht="19.95" customHeight="1">
      <c r="A5" s="8" t="inlineStr">
        <is>
          <t>1 - RECEITA TRIBUTÁRIA</t>
        </is>
      </c>
      <c r="B5" s="20" t="inlineStr">
        <is>
          <t>{receita_tributaria.subtotal}</t>
        </is>
      </c>
    </row>
    <row r="6" ht="19.95" customHeight="1">
      <c r="A6" s="5" t="inlineStr">
        <is>
          <t>IPTU</t>
        </is>
      </c>
      <c r="B6" s="21" t="inlineStr">
        <is>
          <t>{receita_tributaria.iptu}</t>
        </is>
      </c>
    </row>
    <row r="7" ht="19.95" customHeight="1">
      <c r="A7" s="5" t="inlineStr">
        <is>
          <t>ISS</t>
        </is>
      </c>
      <c r="B7" s="21" t="inlineStr">
        <is>
          <t>{receita_tributaria.iss}</t>
        </is>
      </c>
    </row>
    <row r="8" ht="19.95" customHeight="1">
      <c r="A8" s="5" t="inlineStr">
        <is>
          <t>ITBI</t>
        </is>
      </c>
      <c r="B8" s="21" t="inlineStr">
        <is>
          <t>{receita_tributaria.itbi}</t>
        </is>
      </c>
    </row>
    <row r="9" ht="19.95" customHeight="1">
      <c r="A9" s="5" t="inlineStr">
        <is>
          <t>IRRF</t>
        </is>
      </c>
      <c r="B9" s="21" t="inlineStr">
        <is>
          <t>{receita_tributaria.irrf}</t>
        </is>
      </c>
    </row>
    <row r="10" ht="19.95" customHeight="1">
      <c r="A10" s="5" t="inlineStr">
        <is>
          <t>TAXAS</t>
        </is>
      </c>
      <c r="B10" s="21" t="inlineStr">
        <is>
          <t>{receita_tributaria.taxas}</t>
        </is>
      </c>
    </row>
    <row r="11" ht="19.95" customHeight="1">
      <c r="A11" s="5" t="inlineStr">
        <is>
          <t>CONTRIBUIÇÕES DE MELHORIAS</t>
        </is>
      </c>
      <c r="B11" s="21" t="inlineStr">
        <is>
          <t>{receita_tributaria.contribuicoes_melhorias}</t>
        </is>
      </c>
    </row>
    <row r="12" ht="19.95" customHeight="1">
      <c r="A12" s="5" t="inlineStr">
        <is>
          <t>RECEITA DA DIVIDA ATIVA</t>
        </is>
      </c>
      <c r="B12" s="21" t="inlineStr">
        <is>
          <t>{receita_tributaria.divida_ativa_tributaria}</t>
        </is>
      </c>
    </row>
    <row r="13" ht="19.95" customHeight="1">
      <c r="A13" s="5" t="inlineStr">
        <is>
          <t>MULTAS JUROS SOBRE TRIBUTOS</t>
        </is>
      </c>
      <c r="B13" s="21" t="inlineStr">
        <is>
          <t>{receita_tributaria.multas_juros_tributos}</t>
        </is>
      </c>
    </row>
    <row r="14" ht="19.95" customHeight="1">
      <c r="A14" s="5" t="inlineStr">
        <is>
          <t>CONTRIBUIÇÃO ILUMINAÇÃO PÚBLICA</t>
        </is>
      </c>
      <c r="B14" s="21" t="inlineStr">
        <is>
          <t>{receita_tributaria.cosip}</t>
        </is>
      </c>
    </row>
    <row r="15" ht="19.95" customHeight="1">
      <c r="A15" s="4" t="inlineStr">
        <is>
          <t>2 - TRANSFERIDOS PELO ESTADO</t>
        </is>
      </c>
      <c r="B15" s="22" t="inlineStr">
        <is>
          <t>{transferencias_estado.subtotal_repasse}</t>
        </is>
      </c>
    </row>
    <row r="16" ht="19.95" customHeight="1">
      <c r="A16" s="5" t="inlineStr">
        <is>
          <t>Cota-Parte IPVA</t>
        </is>
      </c>
      <c r="B16" s="21" t="inlineStr">
        <is>
          <t>{transferencias_estado.ipva}</t>
        </is>
      </c>
    </row>
    <row r="17" ht="19.95" customHeight="1">
      <c r="A17" s="5" t="inlineStr">
        <is>
          <t>Cota-Parte ICMS</t>
        </is>
      </c>
      <c r="B17" s="21" t="inlineStr">
        <is>
          <t>{transferencias_estado.icms}</t>
        </is>
      </c>
    </row>
    <row r="18" ht="19.95" customHeight="1">
      <c r="A18" s="5" t="inlineStr">
        <is>
          <t>ICMS DESONERAÇÃO</t>
        </is>
      </c>
      <c r="B18" s="21" t="inlineStr">
        <is>
          <t>{transferencias_estado.icms_desoneracao}</t>
        </is>
      </c>
    </row>
    <row r="19" ht="19.95" customHeight="1">
      <c r="A19" s="4" t="inlineStr">
        <is>
          <t>3 - TRANSFERIDOS PELA UNIÃO</t>
        </is>
      </c>
      <c r="B19" s="22" t="inlineStr">
        <is>
          <t>{transferencias_uniao.subtotal_repasse}</t>
        </is>
      </c>
    </row>
    <row r="20" ht="19.95" customHeight="1">
      <c r="A20" s="5" t="inlineStr">
        <is>
          <t>CIDE</t>
        </is>
      </c>
      <c r="B20" s="21" t="inlineStr">
        <is>
          <t>{transferencias_estado.cide}</t>
        </is>
      </c>
    </row>
    <row r="21" ht="19.95" customHeight="1">
      <c r="A21" s="5" t="inlineStr">
        <is>
          <t>Cota-Parte ITR</t>
        </is>
      </c>
      <c r="B21" s="21" t="inlineStr">
        <is>
          <t>{transferencias_uniao.itr}</t>
        </is>
      </c>
    </row>
    <row r="22" ht="19.95" customHeight="1">
      <c r="A22" s="5" t="inlineStr">
        <is>
          <t>Cota-Parte FPM</t>
        </is>
      </c>
      <c r="B22" s="21" t="inlineStr">
        <is>
          <t>{transferencias_uniao.fpm_total}</t>
        </is>
      </c>
    </row>
    <row r="23" ht="19.95" customHeight="1">
      <c r="A23" s="5" t="inlineStr">
        <is>
          <t>Cota-Parte IPI</t>
        </is>
      </c>
      <c r="B23" s="21" t="inlineStr">
        <is>
          <t>{transferencias_estado.ipi}</t>
        </is>
      </c>
    </row>
    <row r="24" ht="19.95" customHeight="1">
      <c r="A24" s="4" t="inlineStr">
        <is>
          <t>4 - TOTAL CONTRIBUIÇÃO DO MUN.P/ FORMAÇÃO DO FUNDEB</t>
        </is>
      </c>
      <c r="B24" s="22" t="inlineStr">
        <is>
          <t>{contribuicao_fundeb}</t>
        </is>
      </c>
    </row>
    <row r="25" ht="19.95" customHeight="1">
      <c r="A25" s="9" t="inlineStr">
        <is>
          <t>Contribuição do Mun.p/ Formação do FUNDEB</t>
        </is>
      </c>
      <c r="B25" s="23" t="inlineStr">
        <is>
          <t>{contribuicao_fundeb}</t>
        </is>
      </c>
    </row>
    <row r="26" ht="19.95" customHeight="1" thickBot="1">
      <c r="A26" s="6" t="inlineStr">
        <is>
          <t>Total (Base Cálculo Repasse)</t>
        </is>
      </c>
      <c r="B26" s="24" t="inlineStr">
        <is>
          <t>{totais.base_calculo}</t>
        </is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mergeCells count="2">
    <mergeCell ref="A2:B2"/>
    <mergeCell ref="A1:B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B28" sqref="B28"/>
    </sheetView>
  </sheetViews>
  <sheetFormatPr baseColWidth="8" defaultRowHeight="14.4"/>
  <sheetData>
    <row r="1" ht="17.4" customHeight="1">
      <c r="A1" s="17" t="inlineStr">
        <is>
          <t>EXTRAÇÃO JSON - BASE DE CÁLCULO DO REPASSE</t>
        </is>
      </c>
    </row>
    <row r="3">
      <c r="A3" s="18" t="inlineStr">
        <is>
          <t>CAMPO (JSON)</t>
        </is>
      </c>
      <c r="B3" s="11" t="inlineStr">
        <is>
          <t>VALOR</t>
        </is>
      </c>
      <c r="C3" s="12" t="inlineStr">
        <is>
          <t>VALOR (JSON-READY)</t>
        </is>
      </c>
    </row>
    <row r="4">
      <c r="A4" t="inlineStr">
        <is>
          <t>municipio</t>
        </is>
      </c>
      <c r="B4" s="13" t="inlineStr">
        <is>
          <t>null</t>
        </is>
      </c>
      <c r="C4">
        <f>B4</f>
        <v/>
      </c>
    </row>
    <row r="5">
      <c r="A5" t="inlineStr">
        <is>
          <t>exercicio</t>
        </is>
      </c>
      <c r="B5" s="13" t="inlineStr">
        <is>
          <t>null</t>
        </is>
      </c>
      <c r="C5">
        <f>B5</f>
        <v/>
      </c>
    </row>
    <row r="6">
      <c r="A6" t="inlineStr">
        <is>
          <t>fonte</t>
        </is>
      </c>
      <c r="B6" t="inlineStr">
        <is>
          <t>Anexo 10 - Comparativo da Receita Orçada com a Arrecadada</t>
        </is>
      </c>
      <c r="C6">
        <f>CHAR(34)&amp;B6&amp;CHAR(34)</f>
        <v/>
      </c>
    </row>
    <row r="7">
      <c r="A7" t="inlineStr">
        <is>
          <t>descricao</t>
        </is>
      </c>
      <c r="B7" t="inlineStr">
        <is>
          <t>BASE DE CALCULO DO REPASSE AO PODER LEGISLATIVO</t>
        </is>
      </c>
      <c r="C7">
        <f>CHAR(34)&amp;B7&amp;CHAR(34)</f>
        <v/>
      </c>
    </row>
    <row r="9">
      <c r="A9" s="14" t="inlineStr">
        <is>
          <t>grupo_1_receita_tributaria</t>
        </is>
      </c>
      <c r="B9" s="15" t="n"/>
      <c r="C9" s="15" t="n"/>
    </row>
    <row r="10">
      <c r="A10" t="inlineStr">
        <is>
          <t>iptu</t>
        </is>
      </c>
      <c r="B10">
        <f>Planilha1!B6</f>
        <v/>
      </c>
      <c r="C10">
        <f>SUBSTITUTE(TEXT(B10,"0.00"),",",".")</f>
        <v/>
      </c>
    </row>
    <row r="11">
      <c r="A11" t="inlineStr">
        <is>
          <t>iss</t>
        </is>
      </c>
      <c r="B11">
        <f>Planilha1!B7</f>
        <v/>
      </c>
      <c r="C11">
        <f>SUBSTITUTE(TEXT(B11,"0.00"),",",".")</f>
        <v/>
      </c>
    </row>
    <row r="12">
      <c r="A12" t="inlineStr">
        <is>
          <t>itbi</t>
        </is>
      </c>
      <c r="B12">
        <f>Planilha1!B8</f>
        <v/>
      </c>
      <c r="C12">
        <f>SUBSTITUTE(TEXT(B12,"0.00"),",",".")</f>
        <v/>
      </c>
    </row>
    <row r="13">
      <c r="A13" t="inlineStr">
        <is>
          <t>irrf</t>
        </is>
      </c>
      <c r="B13">
        <f>Planilha1!B9</f>
        <v/>
      </c>
      <c r="C13">
        <f>SUBSTITUTE(TEXT(B13,"0.00"),",",".")</f>
        <v/>
      </c>
    </row>
    <row r="14">
      <c r="A14" t="inlineStr">
        <is>
          <t>taxas</t>
        </is>
      </c>
      <c r="B14">
        <f>Planilha1!B10</f>
        <v/>
      </c>
      <c r="C14">
        <f>SUBSTITUTE(TEXT(B14,"0.00"),",",".")</f>
        <v/>
      </c>
    </row>
    <row r="15">
      <c r="A15" t="inlineStr">
        <is>
          <t>contribuicoes_de_melhorias</t>
        </is>
      </c>
      <c r="B15">
        <f>Planilha1!B11</f>
        <v/>
      </c>
      <c r="C15">
        <f>SUBSTITUTE(TEXT(B15,"0.00"),",",".")</f>
        <v/>
      </c>
    </row>
    <row r="16">
      <c r="A16" t="inlineStr">
        <is>
          <t>receita_da_divida_ativa</t>
        </is>
      </c>
      <c r="B16">
        <f>Planilha1!B12</f>
        <v/>
      </c>
      <c r="C16">
        <f>SUBSTITUTE(TEXT(B16,"0.00"),",",".")</f>
        <v/>
      </c>
    </row>
    <row r="17">
      <c r="A17" t="inlineStr">
        <is>
          <t>multas_juros_sobre_tributos</t>
        </is>
      </c>
      <c r="B17">
        <f>Planilha1!B13</f>
        <v/>
      </c>
      <c r="C17">
        <f>SUBSTITUTE(TEXT(B17,"0.00"),",",".")</f>
        <v/>
      </c>
    </row>
    <row r="18">
      <c r="A18" t="inlineStr">
        <is>
          <t>contribuicao_iluminacao_publica</t>
        </is>
      </c>
      <c r="B18">
        <f>Planilha1!B14</f>
        <v/>
      </c>
      <c r="C18">
        <f>SUBSTITUTE(TEXT(B18,"0.00"),",",".")</f>
        <v/>
      </c>
    </row>
    <row r="19">
      <c r="A19" s="16" t="inlineStr">
        <is>
          <t>subtotal_1</t>
        </is>
      </c>
      <c r="B19" s="16">
        <f>Planilha1!B5</f>
        <v/>
      </c>
      <c r="C19" s="16">
        <f>SUBSTITUTE(TEXT(B19,"0.00"),",",".")</f>
        <v/>
      </c>
    </row>
    <row r="21">
      <c r="A21" s="14" t="inlineStr">
        <is>
          <t>grupo_2_transferidos_pelo_estado</t>
        </is>
      </c>
      <c r="B21" s="15" t="n"/>
      <c r="C21" s="15" t="n"/>
    </row>
    <row r="22">
      <c r="A22" t="inlineStr">
        <is>
          <t>cota_parte_ipva</t>
        </is>
      </c>
      <c r="B22">
        <f>Planilha1!B16</f>
        <v/>
      </c>
      <c r="C22">
        <f>SUBSTITUTE(TEXT(B22,"0.00"),",",".")</f>
        <v/>
      </c>
    </row>
    <row r="23">
      <c r="A23" t="inlineStr">
        <is>
          <t>cota_parte_icms</t>
        </is>
      </c>
      <c r="B23">
        <f>Planilha1!B17</f>
        <v/>
      </c>
      <c r="C23">
        <f>SUBSTITUTE(TEXT(B23,"0.00"),",",".")</f>
        <v/>
      </c>
    </row>
    <row r="24">
      <c r="A24" t="inlineStr">
        <is>
          <t>icms_desoneracao</t>
        </is>
      </c>
      <c r="B24">
        <f>Planilha1!B18</f>
        <v/>
      </c>
      <c r="C24">
        <f>SUBSTITUTE(TEXT(B24,"0.00"),",",".")</f>
        <v/>
      </c>
    </row>
    <row r="25">
      <c r="A25" s="16" t="inlineStr">
        <is>
          <t>subtotal_2</t>
        </is>
      </c>
      <c r="B25" s="16">
        <f>Planilha1!B15</f>
        <v/>
      </c>
      <c r="C25" s="16">
        <f>SUBSTITUTE(TEXT(B25,"0.00"),",",".")</f>
        <v/>
      </c>
    </row>
    <row r="27">
      <c r="A27" s="14" t="inlineStr">
        <is>
          <t>grupo_3_transferidos_pela_uniao</t>
        </is>
      </c>
      <c r="B27" s="15" t="n"/>
      <c r="C27" s="15" t="n"/>
    </row>
    <row r="28">
      <c r="A28" t="inlineStr">
        <is>
          <t>cide</t>
        </is>
      </c>
      <c r="B28">
        <f>Planilha1!B20</f>
        <v/>
      </c>
      <c r="C28">
        <f>SUBSTITUTE(TEXT(B28,"0.00"),",",".")</f>
        <v/>
      </c>
    </row>
    <row r="29">
      <c r="A29" t="inlineStr">
        <is>
          <t>cota_parte_itr</t>
        </is>
      </c>
      <c r="B29">
        <f>Planilha1!B21</f>
        <v/>
      </c>
      <c r="C29">
        <f>SUBSTITUTE(TEXT(B29,"0.00"),",",".")</f>
        <v/>
      </c>
    </row>
    <row r="30">
      <c r="A30" t="inlineStr">
        <is>
          <t>cota_parte_fpm</t>
        </is>
      </c>
      <c r="B30">
        <f>Planilha1!B22</f>
        <v/>
      </c>
      <c r="C30">
        <f>SUBSTITUTE(TEXT(B30,"0.00"),",",".")</f>
        <v/>
      </c>
    </row>
    <row r="31">
      <c r="A31" t="inlineStr">
        <is>
          <t>cota_parte_ipi</t>
        </is>
      </c>
      <c r="B31">
        <f>Planilha1!B23</f>
        <v/>
      </c>
      <c r="C31">
        <f>SUBSTITUTE(TEXT(B31,"0.00"),",",".")</f>
        <v/>
      </c>
    </row>
    <row r="32">
      <c r="A32" s="16" t="inlineStr">
        <is>
          <t>subtotal_3</t>
        </is>
      </c>
      <c r="B32" s="16">
        <f>Planilha1!B19</f>
        <v/>
      </c>
      <c r="C32" s="16">
        <f>SUBSTITUTE(TEXT(B32,"0.00"),",",".")</f>
        <v/>
      </c>
    </row>
    <row r="34">
      <c r="A34" s="14" t="inlineStr">
        <is>
          <t>grupo_4_deducao_fundeb</t>
        </is>
      </c>
      <c r="B34" s="15" t="n"/>
      <c r="C34" s="15" t="n"/>
    </row>
    <row r="35">
      <c r="A35" t="inlineStr">
        <is>
          <t>deducao_fpm</t>
        </is>
      </c>
      <c r="B35" s="13" t="inlineStr">
        <is>
          <t>null</t>
        </is>
      </c>
      <c r="C35">
        <f>B35</f>
        <v/>
      </c>
    </row>
    <row r="36">
      <c r="A36" t="inlineStr">
        <is>
          <t>deducao_itr</t>
        </is>
      </c>
      <c r="B36" s="13" t="inlineStr">
        <is>
          <t>null</t>
        </is>
      </c>
      <c r="C36">
        <f>B36</f>
        <v/>
      </c>
    </row>
    <row r="37">
      <c r="A37" t="inlineStr">
        <is>
          <t>deducao_icms</t>
        </is>
      </c>
      <c r="B37" s="13" t="inlineStr">
        <is>
          <t>null</t>
        </is>
      </c>
      <c r="C37">
        <f>B37</f>
        <v/>
      </c>
    </row>
    <row r="38">
      <c r="A38" t="inlineStr">
        <is>
          <t>deducao_ipva</t>
        </is>
      </c>
      <c r="B38" s="13" t="inlineStr">
        <is>
          <t>null</t>
        </is>
      </c>
      <c r="C38">
        <f>B38</f>
        <v/>
      </c>
    </row>
    <row r="39">
      <c r="A39" t="inlineStr">
        <is>
          <t>deducao_ipi</t>
        </is>
      </c>
      <c r="B39" s="13" t="inlineStr">
        <is>
          <t>null</t>
        </is>
      </c>
      <c r="C39">
        <f>B39</f>
        <v/>
      </c>
    </row>
    <row r="40">
      <c r="A40" s="16" t="inlineStr">
        <is>
          <t>subtotal_4_deducao</t>
        </is>
      </c>
      <c r="B40" s="16">
        <f>-Planilha1!B24</f>
        <v/>
      </c>
      <c r="C40" s="16">
        <f>SUBSTITUTE(TEXT(B40,"0.00"),",",".")</f>
        <v/>
      </c>
    </row>
    <row r="42">
      <c r="A42" s="18" t="inlineStr">
        <is>
          <t>total_base_calculo_repasse</t>
        </is>
      </c>
      <c r="B42" s="18">
        <f>B19+B25+B32+B40</f>
        <v/>
      </c>
      <c r="C42" s="18">
        <f>SUBSTITUTE(TEXT(B42,"0.00"),",",".")</f>
        <v/>
      </c>
    </row>
    <row r="43">
      <c r="A43" t="inlineStr">
        <is>
          <t>itens_nao_encontrados</t>
        </is>
      </c>
      <c r="B43">
        <f>_xlfn.TEXTJOIN(", ",TRUE,IF(B4="null",A4,""),IF(B5="null",A5,""),IF(B35="null",A35,""),IF(B36="null",A36,""),IF(B37="null",A37,""),IF(B38="null",A38,""),IF(B39="null",A39,""))</f>
        <v/>
      </c>
      <c r="C43">
        <f>_xlfn.TEXTJOIN(",",TRUE,IF(B4="null",CHAR(34)&amp;A4&amp;CHAR(34),""),IF(B5="null",CHAR(34)&amp;A5&amp;CHAR(34),""),IF(B35="null",CHAR(34)&amp;A35&amp;CHAR(34),""),IF(B36="null",CHAR(34)&amp;A36&amp;CHAR(34),""),IF(B37="null",CHAR(34)&amp;A37&amp;CHAR(34),""),IF(B38="null",CHAR(34)&amp;A38&amp;CHAR(34),""),IF(B39="null",CHAR(34)&amp;A39&amp;CHAR(34),""))</f>
        <v/>
      </c>
    </row>
    <row r="45">
      <c r="A45" s="18" t="inlineStr">
        <is>
          <t>JSON COMPLETO</t>
        </is>
      </c>
    </row>
    <row r="46" ht="400.05" customHeight="1">
      <c r="A46" s="19">
        <f>"{"&amp;CHAR(10)&amp;"  "&amp;CHAR(34)&amp;"municipio"&amp;CHAR(34)&amp;": "&amp;C4&amp;","&amp;CHAR(10)&amp;"  "&amp;CHAR(34)&amp;"exercicio"&amp;CHAR(34)&amp;": "&amp;C5&amp;","&amp;CHAR(10)&amp;"  "&amp;CHAR(34)&amp;"fonte"&amp;CHAR(34)&amp;": "&amp;C6&amp;","&amp;CHAR(10)&amp;"  "&amp;CHAR(34)&amp;"descricao"&amp;CHAR(34)&amp;": "&amp;C7&amp;","&amp;CHAR(10)&amp;"  "&amp;CHAR(34)&amp;"grupo_1_receita_tributaria"&amp;CHAR(34)&amp;": {"&amp;CHAR(10)&amp;"    "&amp;CHAR(34)&amp;"iptu"&amp;CHAR(34)&amp;": "&amp;C10&amp;","&amp;CHAR(10)&amp;"    "&amp;CHAR(34)&amp;"iss"&amp;CHAR(34)&amp;": "&amp;C11&amp;","&amp;CHAR(10)&amp;"    "&amp;CHAR(34)&amp;"itbi"&amp;CHAR(34)&amp;": "&amp;C12&amp;","&amp;CHAR(10)&amp;"    "&amp;CHAR(34)&amp;"irrf"&amp;CHAR(34)&amp;": "&amp;C13&amp;","&amp;CHAR(10)&amp;"    "&amp;CHAR(34)&amp;"taxas"&amp;CHAR(34)&amp;": "&amp;C14&amp;","&amp;CHAR(10)&amp;"    "&amp;CHAR(34)&amp;"contribuicoes_de_melhorias"&amp;CHAR(34)&amp;": "&amp;C15&amp;","&amp;CHAR(10)&amp;"    "&amp;CHAR(34)&amp;"receita_da_divida_ativa"&amp;CHAR(34)&amp;": "&amp;C16&amp;","&amp;CHAR(10)&amp;"    "&amp;CHAR(34)&amp;"multas_juros_sobre_tributos"&amp;CHAR(34)&amp;": "&amp;C17&amp;","&amp;CHAR(10)&amp;"    "&amp;CHAR(34)&amp;"contribuicao_iluminacao_publica"&amp;CHAR(34)&amp;": "&amp;C18&amp;","&amp;CHAR(10)&amp;"    "&amp;CHAR(34)&amp;"subtotal_1"&amp;CHAR(34)&amp;": "&amp;C19&amp;CHAR(10)&amp;"  },"&amp;CHAR(10)&amp;"  "&amp;CHAR(34)&amp;"grupo_2_transferidos_pelo_estado"&amp;CHAR(34)&amp;": {"&amp;CHAR(10)&amp;"    "&amp;CHAR(34)&amp;"cota_parte_ipva"&amp;CHAR(34)&amp;": "&amp;C22&amp;","&amp;CHAR(10)&amp;"    "&amp;CHAR(34)&amp;"cota_parte_icms"&amp;CHAR(34)&amp;": "&amp;C23&amp;","&amp;CHAR(10)&amp;"    "&amp;CHAR(34)&amp;"icms_desoneracao"&amp;CHAR(34)&amp;": "&amp;C24&amp;","&amp;CHAR(10)&amp;"    "&amp;CHAR(34)&amp;"subtotal_2"&amp;CHAR(34)&amp;": "&amp;C25&amp;CHAR(10)&amp;"  },"&amp;CHAR(10)&amp;"  "&amp;CHAR(34)&amp;"grupo_3_transferidos_pela_uniao"&amp;CHAR(34)&amp;": {"&amp;CHAR(10)&amp;"    "&amp;CHAR(34)&amp;"cide"&amp;CHAR(34)&amp;": "&amp;C28&amp;","&amp;CHAR(10)&amp;"    "&amp;CHAR(34)&amp;"cota_parte_itr"&amp;CHAR(34)&amp;": "&amp;C29&amp;","&amp;CHAR(10)&amp;"    "&amp;CHAR(34)&amp;"cota_parte_fpm"&amp;CHAR(34)&amp;": "&amp;C30&amp;","&amp;CHAR(10)&amp;"    "&amp;CHAR(34)&amp;"cota_parte_ipi"&amp;CHAR(34)&amp;": "&amp;C31&amp;","&amp;CHAR(10)&amp;"    "&amp;CHAR(34)&amp;"subtotal_3"&amp;CHAR(34)&amp;": "&amp;C32&amp;CHAR(10)&amp;"  },"&amp;CHAR(10)&amp;"  "&amp;CHAR(34)&amp;"grupo_4_deducao_fundeb"&amp;CHAR(34)&amp;": {"&amp;CHAR(10)&amp;"    "&amp;CHAR(34)&amp;"deducao_fpm"&amp;CHAR(34)&amp;": "&amp;C35&amp;","&amp;CHAR(10)&amp;"    "&amp;CHAR(34)&amp;"deducao_itr"&amp;CHAR(34)&amp;": "&amp;C36&amp;","&amp;CHAR(10)&amp;"    "&amp;CHAR(34)&amp;"deducao_icms"&amp;CHAR(34)&amp;": "&amp;C37&amp;","&amp;CHAR(10)&amp;"    "&amp;CHAR(34)&amp;"deducao_ipva"&amp;CHAR(34)&amp;": "&amp;C38&amp;","&amp;CHAR(10)&amp;"    "&amp;CHAR(34)&amp;"deducao_ipi"&amp;CHAR(34)&amp;": "&amp;C39&amp;","&amp;CHAR(10)&amp;"    "&amp;CHAR(34)&amp;"subtotal_4_deducao"&amp;CHAR(34)&amp;": "&amp;C40&amp;CHAR(10)&amp;"  },"&amp;CHAR(10)&amp;"  "&amp;CHAR(34)&amp;"total_base_calculo_repasse"&amp;CHAR(34)&amp;": "&amp;C42&amp;","&amp;CHAR(10)&amp;"  "&amp;CHAR(34)&amp;"itens_nao_encontrados"&amp;CHAR(34)&amp;": ["&amp;C43&amp;"]"&amp;CHAR(10)&amp;"}"</f>
        <v/>
      </c>
    </row>
  </sheetData>
  <mergeCells count="3">
    <mergeCell ref="A1:C1"/>
    <mergeCell ref="A46:C46"/>
    <mergeCell ref="A45:C45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Inforbyte Administrativo</dc:creator>
  <dcterms:created xsi:type="dcterms:W3CDTF">2026-06-02T15:54:00Z</dcterms:created>
  <dcterms:modified xsi:type="dcterms:W3CDTF">2026-07-02T20:33:19Z</dcterms:modified>
  <cp:lastModifiedBy>Inforbyte Administrativo</cp:lastModifiedBy>
</cp:coreProperties>
</file>